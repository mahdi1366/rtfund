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ffice\صندوق پژوهش و فناوری\"/>
    </mc:Choice>
  </mc:AlternateContent>
  <bookViews>
    <workbookView showHorizontalScroll="0" showVerticalScroll="0" xWindow="10905" yWindow="45" windowWidth="10695" windowHeight="9465"/>
  </bookViews>
  <sheets>
    <sheet name="Main" sheetId="11" r:id="rId1"/>
    <sheet name="Mohasebat" sheetId="12" r:id="rId2"/>
    <sheet name="Print" sheetId="13" r:id="rId3"/>
  </sheets>
  <functionGroups builtInGroupCount="18"/>
  <definedNames>
    <definedName name="رديف">#REF!</definedName>
  </definedNames>
  <calcPr calcId="152511"/>
</workbook>
</file>

<file path=xl/calcChain.xml><?xml version="1.0" encoding="utf-8"?>
<calcChain xmlns="http://schemas.openxmlformats.org/spreadsheetml/2006/main">
  <c r="J16" i="11" l="1"/>
  <c r="E4" i="11"/>
  <c r="G4" i="11" s="1"/>
  <c r="K3" i="11"/>
  <c r="F4" i="11"/>
  <c r="K4" i="11" l="1"/>
  <c r="P3" i="11"/>
  <c r="O3" i="11"/>
  <c r="E5" i="11"/>
  <c r="H16" i="12"/>
  <c r="N3" i="11"/>
  <c r="J4" i="11"/>
  <c r="M3" i="11"/>
  <c r="L3" i="11"/>
  <c r="O4" i="11" l="1"/>
  <c r="K5" i="11"/>
  <c r="P4" i="11"/>
  <c r="G5" i="11"/>
  <c r="E6" i="11"/>
  <c r="D9" i="13"/>
  <c r="D10" i="13"/>
  <c r="F10" i="13"/>
  <c r="F9" i="13"/>
  <c r="F8" i="13"/>
  <c r="F11" i="13"/>
  <c r="E11" i="13"/>
  <c r="D11" i="13"/>
  <c r="F5" i="11"/>
  <c r="N4" i="11" s="1"/>
  <c r="F5" i="13"/>
  <c r="K6" i="11" l="1"/>
  <c r="P5" i="11"/>
  <c r="O5" i="11"/>
  <c r="E7" i="11"/>
  <c r="G6" i="11"/>
  <c r="I3" i="12"/>
  <c r="M3" i="12" s="1"/>
  <c r="B4" i="12"/>
  <c r="D4" i="12" s="1"/>
  <c r="F6" i="11"/>
  <c r="N5" i="11" s="1"/>
  <c r="M4" i="11"/>
  <c r="C4" i="12"/>
  <c r="L4" i="11"/>
  <c r="G7" i="11" l="1"/>
  <c r="E8" i="11"/>
  <c r="O6" i="11"/>
  <c r="K7" i="11"/>
  <c r="P6" i="11"/>
  <c r="B5" i="12"/>
  <c r="D12" i="13"/>
  <c r="N3" i="12"/>
  <c r="I4" i="12"/>
  <c r="D17" i="11"/>
  <c r="L3" i="12"/>
  <c r="C5" i="12"/>
  <c r="M5" i="11"/>
  <c r="F7" i="11"/>
  <c r="M6" i="11" s="1"/>
  <c r="K3" i="12"/>
  <c r="L5" i="11"/>
  <c r="J3" i="12"/>
  <c r="K8" i="11" l="1"/>
  <c r="P7" i="11"/>
  <c r="O7" i="11"/>
  <c r="E9" i="11"/>
  <c r="G8" i="11"/>
  <c r="D5" i="12"/>
  <c r="D13" i="13" s="1"/>
  <c r="B6" i="12"/>
  <c r="I5" i="12"/>
  <c r="N4" i="12"/>
  <c r="M4" i="12"/>
  <c r="D16" i="11"/>
  <c r="D7" i="13" s="1"/>
  <c r="N6" i="11"/>
  <c r="L4" i="12"/>
  <c r="F8" i="11"/>
  <c r="N7" i="11" s="1"/>
  <c r="C6" i="12"/>
  <c r="K4" i="12"/>
  <c r="L6" i="11"/>
  <c r="J4" i="12"/>
  <c r="G9" i="11" l="1"/>
  <c r="E10" i="11"/>
  <c r="O8" i="11"/>
  <c r="K9" i="11"/>
  <c r="P8" i="11"/>
  <c r="B7" i="12"/>
  <c r="D7" i="12" s="1"/>
  <c r="D15" i="13" s="1"/>
  <c r="D6" i="12"/>
  <c r="D14" i="13" s="1"/>
  <c r="I6" i="12"/>
  <c r="M5" i="12"/>
  <c r="N5" i="12"/>
  <c r="B36" i="13"/>
  <c r="C11" i="13"/>
  <c r="D8" i="13"/>
  <c r="D6" i="13"/>
  <c r="D5" i="13"/>
  <c r="D3" i="13"/>
  <c r="L5" i="12"/>
  <c r="K5" i="12"/>
  <c r="C7" i="12"/>
  <c r="M7" i="11"/>
  <c r="F9" i="11"/>
  <c r="N8" i="11" s="1"/>
  <c r="J5" i="12"/>
  <c r="L7" i="11"/>
  <c r="K10" i="11" l="1"/>
  <c r="P9" i="11"/>
  <c r="O9" i="11"/>
  <c r="E11" i="11"/>
  <c r="G10" i="11"/>
  <c r="B8" i="12"/>
  <c r="D8" i="12" s="1"/>
  <c r="D16" i="13" s="1"/>
  <c r="I7" i="12"/>
  <c r="N6" i="12"/>
  <c r="M6" i="12"/>
  <c r="B12" i="13"/>
  <c r="L6" i="12"/>
  <c r="F10" i="11"/>
  <c r="N9" i="11" s="1"/>
  <c r="M8" i="11"/>
  <c r="K6" i="12"/>
  <c r="J6" i="12"/>
  <c r="L9" i="11"/>
  <c r="L8" i="11"/>
  <c r="G11" i="11" l="1"/>
  <c r="E12" i="11"/>
  <c r="O10" i="11"/>
  <c r="K11" i="11"/>
  <c r="P10" i="11"/>
  <c r="B9" i="12"/>
  <c r="D9" i="12" s="1"/>
  <c r="D17" i="13" s="1"/>
  <c r="I8" i="12"/>
  <c r="M7" i="12"/>
  <c r="N7" i="12"/>
  <c r="B10" i="12"/>
  <c r="D10" i="12" s="1"/>
  <c r="C12" i="13"/>
  <c r="B13" i="13"/>
  <c r="M9" i="11"/>
  <c r="F11" i="11"/>
  <c r="C8" i="12"/>
  <c r="K7" i="12" s="1"/>
  <c r="L10" i="11"/>
  <c r="N10" i="11"/>
  <c r="M10" i="11"/>
  <c r="K12" i="11" l="1"/>
  <c r="P11" i="11"/>
  <c r="O11" i="11"/>
  <c r="E13" i="11"/>
  <c r="G12" i="11"/>
  <c r="B11" i="12"/>
  <c r="D11" i="12" s="1"/>
  <c r="D18" i="13"/>
  <c r="I9" i="12"/>
  <c r="N8" i="12"/>
  <c r="M8" i="12"/>
  <c r="C13" i="13"/>
  <c r="B14" i="13"/>
  <c r="L7" i="12"/>
  <c r="F12" i="11"/>
  <c r="N11" i="11" s="1"/>
  <c r="C9" i="12"/>
  <c r="L8" i="12" s="1"/>
  <c r="M11" i="11"/>
  <c r="J7" i="12"/>
  <c r="L11" i="11"/>
  <c r="E14" i="11" l="1"/>
  <c r="G13" i="11"/>
  <c r="K13" i="11"/>
  <c r="P12" i="11"/>
  <c r="O12" i="11"/>
  <c r="I10" i="12"/>
  <c r="M9" i="12"/>
  <c r="N9" i="12"/>
  <c r="B12" i="12"/>
  <c r="D12" i="12" s="1"/>
  <c r="D19" i="13"/>
  <c r="C14" i="13"/>
  <c r="B15" i="13"/>
  <c r="F13" i="11"/>
  <c r="N12" i="11" s="1"/>
  <c r="M12" i="11"/>
  <c r="K8" i="12"/>
  <c r="C10" i="12"/>
  <c r="L9" i="12" s="1"/>
  <c r="K9" i="12"/>
  <c r="L12" i="11"/>
  <c r="J8" i="12"/>
  <c r="O13" i="11" l="1"/>
  <c r="P13" i="11"/>
  <c r="K14" i="11"/>
  <c r="G14" i="11"/>
  <c r="E15" i="11"/>
  <c r="B13" i="12"/>
  <c r="D13" i="12" s="1"/>
  <c r="D20" i="13"/>
  <c r="I11" i="12"/>
  <c r="N10" i="12"/>
  <c r="M10" i="12"/>
  <c r="C15" i="13"/>
  <c r="F14" i="11"/>
  <c r="L13" i="11" s="1"/>
  <c r="M13" i="11"/>
  <c r="N13" i="11"/>
  <c r="C11" i="12"/>
  <c r="L10" i="12" s="1"/>
  <c r="K10" i="12"/>
  <c r="J9" i="12"/>
  <c r="J10" i="12"/>
  <c r="E16" i="11" l="1"/>
  <c r="G15" i="11"/>
  <c r="K15" i="11"/>
  <c r="P14" i="11"/>
  <c r="O14" i="11"/>
  <c r="I12" i="12"/>
  <c r="M11" i="12"/>
  <c r="N11" i="12"/>
  <c r="B14" i="12"/>
  <c r="D14" i="12" s="1"/>
  <c r="D21" i="13"/>
  <c r="B16" i="13"/>
  <c r="C16" i="13"/>
  <c r="F15" i="11"/>
  <c r="N14" i="11"/>
  <c r="M14" i="11"/>
  <c r="L14" i="11"/>
  <c r="C12" i="12"/>
  <c r="L11" i="12" s="1"/>
  <c r="K11" i="12"/>
  <c r="J11" i="12"/>
  <c r="F16" i="11" l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K16" i="11"/>
  <c r="O15" i="11"/>
  <c r="M15" i="11"/>
  <c r="N15" i="11"/>
  <c r="P15" i="11"/>
  <c r="L15" i="11"/>
  <c r="E17" i="11"/>
  <c r="I16" i="11"/>
  <c r="G16" i="11"/>
  <c r="H16" i="11"/>
  <c r="B15" i="12"/>
  <c r="D15" i="12" s="1"/>
  <c r="D22" i="13"/>
  <c r="I13" i="12"/>
  <c r="N12" i="12"/>
  <c r="M12" i="12"/>
  <c r="B17" i="13"/>
  <c r="C17" i="13"/>
  <c r="C13" i="12"/>
  <c r="L12" i="12" s="1"/>
  <c r="K12" i="12"/>
  <c r="J12" i="12"/>
  <c r="I17" i="11" l="1"/>
  <c r="G17" i="11"/>
  <c r="E18" i="11"/>
  <c r="H17" i="11"/>
  <c r="O16" i="11"/>
  <c r="M16" i="11"/>
  <c r="K17" i="11"/>
  <c r="N16" i="11"/>
  <c r="P16" i="11"/>
  <c r="L16" i="11"/>
  <c r="I14" i="12"/>
  <c r="M13" i="12"/>
  <c r="N13" i="12"/>
  <c r="B16" i="12"/>
  <c r="D23" i="13"/>
  <c r="B18" i="13"/>
  <c r="C18" i="13"/>
  <c r="C14" i="12"/>
  <c r="J13" i="12"/>
  <c r="K13" i="12"/>
  <c r="L13" i="12"/>
  <c r="K18" i="11" l="1"/>
  <c r="P17" i="11"/>
  <c r="N17" i="11"/>
  <c r="L17" i="11"/>
  <c r="O17" i="11"/>
  <c r="M17" i="11"/>
  <c r="E19" i="11"/>
  <c r="H18" i="11"/>
  <c r="G18" i="11"/>
  <c r="I18" i="11"/>
  <c r="D16" i="12"/>
  <c r="D24" i="13" s="1"/>
  <c r="B17" i="12"/>
  <c r="D17" i="12" s="1"/>
  <c r="I15" i="12"/>
  <c r="N14" i="12"/>
  <c r="M14" i="12"/>
  <c r="B19" i="13"/>
  <c r="C19" i="13"/>
  <c r="C15" i="12"/>
  <c r="K14" i="12"/>
  <c r="L14" i="12"/>
  <c r="J14" i="12"/>
  <c r="I19" i="11" l="1"/>
  <c r="G19" i="11"/>
  <c r="E20" i="11"/>
  <c r="H19" i="11"/>
  <c r="O18" i="11"/>
  <c r="M18" i="11"/>
  <c r="P18" i="11"/>
  <c r="L18" i="11"/>
  <c r="K19" i="11"/>
  <c r="N18" i="11"/>
  <c r="I16" i="12"/>
  <c r="M15" i="12"/>
  <c r="N15" i="12"/>
  <c r="L15" i="12"/>
  <c r="K15" i="12"/>
  <c r="B18" i="12"/>
  <c r="D18" i="12" s="1"/>
  <c r="D25" i="13"/>
  <c r="B20" i="13"/>
  <c r="C20" i="13"/>
  <c r="C16" i="12"/>
  <c r="J15" i="12" s="1"/>
  <c r="K20" i="11" l="1"/>
  <c r="P19" i="11"/>
  <c r="N19" i="11"/>
  <c r="L19" i="11"/>
  <c r="M19" i="11"/>
  <c r="O19" i="11"/>
  <c r="E21" i="11"/>
  <c r="H20" i="11"/>
  <c r="I20" i="11"/>
  <c r="G20" i="11"/>
  <c r="B19" i="12"/>
  <c r="D19" i="12" s="1"/>
  <c r="D26" i="13"/>
  <c r="I17" i="12"/>
  <c r="N16" i="12"/>
  <c r="L16" i="12"/>
  <c r="K16" i="12"/>
  <c r="M16" i="12"/>
  <c r="B21" i="13"/>
  <c r="C21" i="13"/>
  <c r="C17" i="12"/>
  <c r="J16" i="12"/>
  <c r="I21" i="11" l="1"/>
  <c r="G21" i="11"/>
  <c r="E22" i="11"/>
  <c r="H21" i="11"/>
  <c r="O20" i="11"/>
  <c r="M20" i="11"/>
  <c r="K21" i="11"/>
  <c r="N20" i="11"/>
  <c r="P20" i="11"/>
  <c r="L20" i="11"/>
  <c r="I18" i="12"/>
  <c r="M17" i="12"/>
  <c r="N17" i="12"/>
  <c r="L17" i="12"/>
  <c r="K17" i="12"/>
  <c r="B20" i="12"/>
  <c r="D20" i="12" s="1"/>
  <c r="D27" i="13"/>
  <c r="B22" i="13"/>
  <c r="C22" i="13"/>
  <c r="C18" i="12"/>
  <c r="J17" i="12"/>
  <c r="K22" i="11" l="1"/>
  <c r="P21" i="11"/>
  <c r="N21" i="11"/>
  <c r="L21" i="11"/>
  <c r="O21" i="11"/>
  <c r="M21" i="11"/>
  <c r="E23" i="11"/>
  <c r="H22" i="11"/>
  <c r="G22" i="11"/>
  <c r="I22" i="11"/>
  <c r="B21" i="12"/>
  <c r="D21" i="12" s="1"/>
  <c r="D28" i="13"/>
  <c r="I19" i="12"/>
  <c r="N18" i="12"/>
  <c r="L18" i="12"/>
  <c r="K18" i="12"/>
  <c r="M18" i="12"/>
  <c r="B23" i="13"/>
  <c r="B24" i="13"/>
  <c r="C23" i="13"/>
  <c r="C19" i="12"/>
  <c r="J18" i="12" s="1"/>
  <c r="I23" i="11" l="1"/>
  <c r="G23" i="11"/>
  <c r="E24" i="11"/>
  <c r="H23" i="11"/>
  <c r="O22" i="11"/>
  <c r="M22" i="11"/>
  <c r="P22" i="11"/>
  <c r="L22" i="11"/>
  <c r="K23" i="11"/>
  <c r="N22" i="11"/>
  <c r="I20" i="12"/>
  <c r="M19" i="12"/>
  <c r="N19" i="12"/>
  <c r="L19" i="12"/>
  <c r="K19" i="12"/>
  <c r="B22" i="12"/>
  <c r="D22" i="12" s="1"/>
  <c r="D29" i="13"/>
  <c r="B25" i="13"/>
  <c r="C20" i="12"/>
  <c r="J19" i="12" s="1"/>
  <c r="K24" i="11" l="1"/>
  <c r="P23" i="11"/>
  <c r="N23" i="11"/>
  <c r="L23" i="11"/>
  <c r="M23" i="11"/>
  <c r="O23" i="11"/>
  <c r="E25" i="11"/>
  <c r="H24" i="11"/>
  <c r="I24" i="11"/>
  <c r="G24" i="11"/>
  <c r="B23" i="12"/>
  <c r="D23" i="12" s="1"/>
  <c r="D30" i="13"/>
  <c r="I21" i="12"/>
  <c r="N20" i="12"/>
  <c r="L20" i="12"/>
  <c r="K20" i="12"/>
  <c r="M20" i="12"/>
  <c r="C24" i="13"/>
  <c r="B26" i="13"/>
  <c r="C21" i="12"/>
  <c r="J20" i="12"/>
  <c r="I25" i="11" l="1"/>
  <c r="G25" i="11"/>
  <c r="E26" i="11"/>
  <c r="H25" i="11"/>
  <c r="O24" i="11"/>
  <c r="M24" i="11"/>
  <c r="K25" i="11"/>
  <c r="N24" i="11"/>
  <c r="P24" i="11"/>
  <c r="L24" i="11"/>
  <c r="C22" i="12"/>
  <c r="I22" i="12"/>
  <c r="M21" i="12"/>
  <c r="N21" i="12"/>
  <c r="L21" i="12"/>
  <c r="K21" i="12"/>
  <c r="B24" i="12"/>
  <c r="D24" i="12" s="1"/>
  <c r="D31" i="13"/>
  <c r="C25" i="13"/>
  <c r="B27" i="13"/>
  <c r="C23" i="12"/>
  <c r="J21" i="12"/>
  <c r="K26" i="11" l="1"/>
  <c r="P25" i="11"/>
  <c r="N25" i="11"/>
  <c r="L25" i="11"/>
  <c r="O25" i="11"/>
  <c r="M25" i="11"/>
  <c r="E27" i="11"/>
  <c r="H26" i="11"/>
  <c r="G26" i="11"/>
  <c r="I26" i="11"/>
  <c r="B25" i="12"/>
  <c r="D25" i="12" s="1"/>
  <c r="D32" i="13"/>
  <c r="I23" i="12"/>
  <c r="N22" i="12"/>
  <c r="L22" i="12"/>
  <c r="K22" i="12"/>
  <c r="M22" i="12"/>
  <c r="C26" i="13"/>
  <c r="B28" i="13"/>
  <c r="C24" i="12"/>
  <c r="J22" i="12"/>
  <c r="I27" i="11" l="1"/>
  <c r="G27" i="11"/>
  <c r="G28" i="11" s="1"/>
  <c r="H27" i="11"/>
  <c r="O26" i="11"/>
  <c r="O27" i="11" s="1"/>
  <c r="M26" i="11"/>
  <c r="M27" i="11" s="1"/>
  <c r="P26" i="11"/>
  <c r="P27" i="11" s="1"/>
  <c r="L26" i="11"/>
  <c r="L27" i="11" s="1"/>
  <c r="N26" i="11"/>
  <c r="N27" i="11" s="1"/>
  <c r="I24" i="12"/>
  <c r="M23" i="12"/>
  <c r="N23" i="12"/>
  <c r="L23" i="12"/>
  <c r="K23" i="12"/>
  <c r="B26" i="12"/>
  <c r="D26" i="12" s="1"/>
  <c r="D33" i="13"/>
  <c r="C27" i="13"/>
  <c r="B29" i="13"/>
  <c r="C25" i="12"/>
  <c r="J23" i="12"/>
  <c r="J3" i="11" l="1"/>
  <c r="B27" i="12"/>
  <c r="D27" i="12" s="1"/>
  <c r="D34" i="13"/>
  <c r="I25" i="12"/>
  <c r="N24" i="12"/>
  <c r="L24" i="12"/>
  <c r="K24" i="12"/>
  <c r="M24" i="12"/>
  <c r="C28" i="13"/>
  <c r="B30" i="13"/>
  <c r="C26" i="12"/>
  <c r="J24" i="12"/>
  <c r="H14" i="11" l="1"/>
  <c r="I14" i="11" s="1"/>
  <c r="H12" i="11"/>
  <c r="I12" i="11" s="1"/>
  <c r="H10" i="11"/>
  <c r="I10" i="11" s="1"/>
  <c r="H15" i="11"/>
  <c r="I15" i="11" s="1"/>
  <c r="H13" i="11"/>
  <c r="I13" i="11" s="1"/>
  <c r="H11" i="11"/>
  <c r="I11" i="11" s="1"/>
  <c r="H9" i="11"/>
  <c r="I9" i="11" s="1"/>
  <c r="H7" i="11"/>
  <c r="I7" i="11" s="1"/>
  <c r="H5" i="11"/>
  <c r="I5" i="11" s="1"/>
  <c r="H8" i="11"/>
  <c r="I8" i="11" s="1"/>
  <c r="H6" i="11"/>
  <c r="I6" i="11" s="1"/>
  <c r="H4" i="11"/>
  <c r="I26" i="12"/>
  <c r="M25" i="12"/>
  <c r="N25" i="12"/>
  <c r="L25" i="12"/>
  <c r="K25" i="12"/>
  <c r="C29" i="13"/>
  <c r="B31" i="13"/>
  <c r="C27" i="12"/>
  <c r="J25" i="12"/>
  <c r="I4" i="11" l="1"/>
  <c r="I28" i="11" s="1"/>
  <c r="H28" i="11"/>
  <c r="D28" i="12"/>
  <c r="D36" i="13" s="1"/>
  <c r="D35" i="13"/>
  <c r="N26" i="12"/>
  <c r="N27" i="12" s="1"/>
  <c r="L26" i="12"/>
  <c r="K26" i="12"/>
  <c r="M26" i="12"/>
  <c r="C30" i="13"/>
  <c r="B32" i="13"/>
  <c r="J26" i="12"/>
  <c r="C31" i="13" l="1"/>
  <c r="B33" i="13"/>
  <c r="C32" i="13" l="1"/>
  <c r="M27" i="12"/>
  <c r="L27" i="12"/>
  <c r="B34" i="13"/>
  <c r="K27" i="12" l="1"/>
  <c r="C33" i="13"/>
  <c r="B35" i="13"/>
  <c r="C35" i="13" l="1"/>
  <c r="C34" i="13"/>
  <c r="E27" i="12" l="1"/>
  <c r="E35" i="13" s="1"/>
  <c r="E25" i="12"/>
  <c r="E33" i="13" s="1"/>
  <c r="E26" i="12"/>
  <c r="E34" i="13" s="1"/>
  <c r="E24" i="12"/>
  <c r="E20" i="12"/>
  <c r="E28" i="13" s="1"/>
  <c r="E32" i="13"/>
  <c r="F24" i="12"/>
  <c r="F32" i="13" s="1"/>
  <c r="F27" i="12"/>
  <c r="F35" i="13" s="1"/>
  <c r="F25" i="12"/>
  <c r="F33" i="13" s="1"/>
  <c r="E22" i="12"/>
  <c r="E18" i="12"/>
  <c r="E23" i="12"/>
  <c r="E21" i="12"/>
  <c r="E19" i="12"/>
  <c r="E17" i="12"/>
  <c r="E16" i="12"/>
  <c r="F26" i="12" l="1"/>
  <c r="F34" i="13" s="1"/>
  <c r="F20" i="12"/>
  <c r="F28" i="13" s="1"/>
  <c r="E25" i="13"/>
  <c r="F17" i="12"/>
  <c r="F25" i="13" s="1"/>
  <c r="E29" i="13"/>
  <c r="F21" i="12"/>
  <c r="F29" i="13" s="1"/>
  <c r="E26" i="13"/>
  <c r="F18" i="12"/>
  <c r="F26" i="13" s="1"/>
  <c r="E27" i="13"/>
  <c r="F19" i="12"/>
  <c r="F27" i="13" s="1"/>
  <c r="E31" i="13"/>
  <c r="F23" i="12"/>
  <c r="F31" i="13" s="1"/>
  <c r="E30" i="13"/>
  <c r="F22" i="12"/>
  <c r="F30" i="13" s="1"/>
  <c r="E24" i="13"/>
  <c r="F16" i="12"/>
  <c r="F24" i="13" s="1"/>
  <c r="J27" i="12"/>
  <c r="H3" i="12" s="1"/>
  <c r="E4" i="12" l="1"/>
  <c r="E15" i="12"/>
  <c r="E12" i="12"/>
  <c r="E14" i="12"/>
  <c r="E10" i="12"/>
  <c r="E13" i="12"/>
  <c r="E11" i="12"/>
  <c r="E6" i="12"/>
  <c r="E7" i="12"/>
  <c r="E8" i="12"/>
  <c r="E9" i="12"/>
  <c r="E5" i="12"/>
  <c r="E21" i="13" l="1"/>
  <c r="F13" i="12"/>
  <c r="F21" i="13" s="1"/>
  <c r="E22" i="13"/>
  <c r="F14" i="12"/>
  <c r="F22" i="13" s="1"/>
  <c r="E23" i="13"/>
  <c r="F15" i="12"/>
  <c r="F23" i="13" s="1"/>
  <c r="E19" i="13"/>
  <c r="F11" i="12"/>
  <c r="F19" i="13" s="1"/>
  <c r="F10" i="12"/>
  <c r="F18" i="13" s="1"/>
  <c r="E18" i="13"/>
  <c r="E20" i="13"/>
  <c r="F12" i="12"/>
  <c r="F20" i="13" s="1"/>
  <c r="F5" i="12"/>
  <c r="F13" i="13" s="1"/>
  <c r="E13" i="13"/>
  <c r="F9" i="12"/>
  <c r="F17" i="13" s="1"/>
  <c r="E17" i="13"/>
  <c r="F7" i="12"/>
  <c r="F15" i="13" s="1"/>
  <c r="E15" i="13"/>
  <c r="E12" i="13"/>
  <c r="F4" i="12"/>
  <c r="E28" i="12"/>
  <c r="E36" i="13" s="1"/>
  <c r="E16" i="13"/>
  <c r="F8" i="12"/>
  <c r="F16" i="13" s="1"/>
  <c r="F6" i="12"/>
  <c r="F14" i="13" s="1"/>
  <c r="E14" i="13"/>
  <c r="F28" i="12" l="1"/>
  <c r="F36" i="13" s="1"/>
  <c r="F12" i="13"/>
</calcChain>
</file>

<file path=xl/sharedStrings.xml><?xml version="1.0" encoding="utf-8"?>
<sst xmlns="http://schemas.openxmlformats.org/spreadsheetml/2006/main" count="71" uniqueCount="57">
  <si>
    <t>تاريخ سررسيد</t>
  </si>
  <si>
    <t>رديف</t>
  </si>
  <si>
    <t>نام شرکت</t>
  </si>
  <si>
    <t>جدول اقساط</t>
  </si>
  <si>
    <t>سود هر قسط</t>
  </si>
  <si>
    <t>عنوان طرح</t>
  </si>
  <si>
    <t>ردیف</t>
  </si>
  <si>
    <t>سود پ 1</t>
  </si>
  <si>
    <t>سود پ 2</t>
  </si>
  <si>
    <t>سود پ 3</t>
  </si>
  <si>
    <t>سود پ 4</t>
  </si>
  <si>
    <t>سود پ 5</t>
  </si>
  <si>
    <t>اطلاعات تسهیلات</t>
  </si>
  <si>
    <t>کارگزار مالی</t>
  </si>
  <si>
    <t>جدول اقساط تسهیلات صندوق نوآوری و شکوفایی</t>
  </si>
  <si>
    <t>نام شرکت:</t>
  </si>
  <si>
    <t xml:space="preserve">عنوان طرح: </t>
  </si>
  <si>
    <t>جمــــــع (ریال)</t>
  </si>
  <si>
    <r>
      <t>مبلغ تسهیلات</t>
    </r>
    <r>
      <rPr>
        <sz val="12"/>
        <color theme="1"/>
        <rFont val="B Nazanin"/>
        <charset val="178"/>
      </rPr>
      <t xml:space="preserve"> (ریال)</t>
    </r>
    <r>
      <rPr>
        <b/>
        <sz val="12"/>
        <color theme="1"/>
        <rFont val="B Nazanin"/>
        <charset val="178"/>
      </rPr>
      <t>:</t>
    </r>
  </si>
  <si>
    <t xml:space="preserve"> اصل قسط</t>
  </si>
  <si>
    <t>سود قسط</t>
  </si>
  <si>
    <t>تاریخ باید با فرمت 0000/00/00 درج شود.</t>
  </si>
  <si>
    <t>دوره تنفس (ماه)</t>
  </si>
  <si>
    <t>مبلغ تسهیلات (ریال)</t>
  </si>
  <si>
    <t>تعداد پرداخت</t>
  </si>
  <si>
    <t>دوره پرداخت (ماه)</t>
  </si>
  <si>
    <t>تعداد بازپرداخت</t>
  </si>
  <si>
    <t>دوره بازپرداخت (ماه)</t>
  </si>
  <si>
    <t>مبلغ پرداخت اول</t>
  </si>
  <si>
    <t>تاریخ پرداخت اول</t>
  </si>
  <si>
    <t>مبلغ پرداخت دوم</t>
  </si>
  <si>
    <t>تاریخ پرداخت دوم</t>
  </si>
  <si>
    <t>مبلغ پرداخت سوم</t>
  </si>
  <si>
    <t>تاریخ پرداخت سوم</t>
  </si>
  <si>
    <t>مبلغ پرداخت چهارم</t>
  </si>
  <si>
    <t>تاریخ پرداخت چهارم</t>
  </si>
  <si>
    <t>مبلغ پرداخت پنجم</t>
  </si>
  <si>
    <t>تاریخ پرداخت پنجم</t>
  </si>
  <si>
    <t>نرخ تسهیلات:</t>
  </si>
  <si>
    <t>تعداد پرداخت:</t>
  </si>
  <si>
    <r>
      <t xml:space="preserve">دوره پرداخت </t>
    </r>
    <r>
      <rPr>
        <sz val="12"/>
        <color theme="1"/>
        <rFont val="B Nazanin"/>
        <charset val="178"/>
      </rPr>
      <t>(ماه)</t>
    </r>
    <r>
      <rPr>
        <b/>
        <sz val="12"/>
        <color theme="1"/>
        <rFont val="B Nazanin"/>
        <charset val="178"/>
      </rPr>
      <t>:</t>
    </r>
  </si>
  <si>
    <r>
      <t xml:space="preserve">دوره تنفس </t>
    </r>
    <r>
      <rPr>
        <sz val="12"/>
        <color theme="1"/>
        <rFont val="B Nazanin"/>
        <charset val="178"/>
      </rPr>
      <t>(ماه)</t>
    </r>
    <r>
      <rPr>
        <b/>
        <sz val="12"/>
        <color theme="1"/>
        <rFont val="B Nazanin"/>
        <charset val="178"/>
      </rPr>
      <t>:</t>
    </r>
  </si>
  <si>
    <t>تعداد بازپرداخت:</t>
  </si>
  <si>
    <r>
      <t xml:space="preserve">دوره باز پرداخت </t>
    </r>
    <r>
      <rPr>
        <sz val="12"/>
        <rFont val="B Nazanin"/>
        <charset val="178"/>
      </rPr>
      <t>(ماه)</t>
    </r>
    <r>
      <rPr>
        <b/>
        <sz val="12"/>
        <rFont val="B Nazanin"/>
        <charset val="178"/>
      </rPr>
      <t>:</t>
    </r>
  </si>
  <si>
    <t>لطفا یک نسخه از پرینت جدول فوق ضمیمه قرارداد گردد.</t>
  </si>
  <si>
    <t>جمع پرداخت</t>
  </si>
  <si>
    <t>این فایل به صورت آزمایشی می باشد. در صورت مشاهده هرگونه مشکل، 
به ایمیل etebarat@nsfund.ir ارسال نمایید.</t>
  </si>
  <si>
    <t>تاریخ محاسبه</t>
  </si>
  <si>
    <t>شماره قسط</t>
  </si>
  <si>
    <t>مبلغ کل قسط (ریال)</t>
  </si>
  <si>
    <t>نرخ تسهیلات</t>
  </si>
  <si>
    <t>صندوق پژوهش و فناوری خراسان رضوی</t>
  </si>
  <si>
    <t>شرکت پرنیان ادمان آفرین</t>
  </si>
  <si>
    <t>تولید آلیاژ پلیمری مخصوص پوشش دهی و تکنولوژی صنعت کوتینگ</t>
  </si>
  <si>
    <t>1397/02/10</t>
  </si>
  <si>
    <t>1397/06/10</t>
  </si>
  <si>
    <t>1397/08/10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</si>
</sst>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ريال&quot;\ #,##0_-"/>
  </numFmts>
  <fonts count="11"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2"/>
      <color theme="1"/>
      <name val="B Nazanin"/>
      <charset val="178"/>
    </font>
    <font>
      <b/>
      <sz val="12"/>
      <color theme="1"/>
      <name val="B Nazanin"/>
      <charset val="178"/>
    </font>
    <font>
      <b/>
      <sz val="12"/>
      <name val="B Nazanin"/>
      <charset val="178"/>
    </font>
    <font>
      <b/>
      <sz val="12"/>
      <color rgb="FFFF0000"/>
      <name val="B Nazanin"/>
      <charset val="178"/>
    </font>
    <font>
      <sz val="11"/>
      <color theme="1"/>
      <name val="B Nazanin"/>
      <charset val="178"/>
    </font>
    <font>
      <b/>
      <sz val="13"/>
      <color theme="1"/>
      <name val="B Nazanin"/>
      <charset val="178"/>
    </font>
    <font>
      <b/>
      <sz val="12"/>
      <color rgb="FF000000"/>
      <name val="B Nazanin"/>
      <charset val="178"/>
    </font>
    <font>
      <sz val="12"/>
      <name val="B Nazanin"/>
      <charset val="178"/>
    </font>
    <font>
      <b/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0">
    <xf numFmtId="0" fontId="0" fillId="0" borderId="0" xfId="0"/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3" fontId="2" fillId="0" borderId="4" xfId="0" applyNumberFormat="1" applyFont="1" applyBorder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2" fillId="0" borderId="18" xfId="0" applyFont="1" applyBorder="1" applyAlignment="1">
      <alignment horizontal="left" vertical="center"/>
    </xf>
    <xf numFmtId="3" fontId="3" fillId="4" borderId="6" xfId="0" applyNumberFormat="1" applyFont="1" applyFill="1" applyBorder="1" applyAlignment="1" applyProtection="1">
      <alignment horizontal="center" vertical="center"/>
      <protection locked="0"/>
    </xf>
    <xf numFmtId="3" fontId="3" fillId="4" borderId="2" xfId="0" applyNumberFormat="1" applyFont="1" applyFill="1" applyBorder="1" applyAlignment="1" applyProtection="1">
      <alignment horizontal="center" vertical="center"/>
      <protection locked="0"/>
    </xf>
    <xf numFmtId="3" fontId="3" fillId="4" borderId="5" xfId="0" applyNumberFormat="1" applyFont="1" applyFill="1" applyBorder="1" applyAlignment="1" applyProtection="1">
      <alignment horizontal="center" vertical="center"/>
      <protection locked="0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2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0" borderId="21" xfId="0" applyFont="1" applyBorder="1" applyAlignment="1">
      <alignment horizontal="left" vertical="center"/>
    </xf>
    <xf numFmtId="3" fontId="3" fillId="4" borderId="13" xfId="0" applyNumberFormat="1" applyFont="1" applyFill="1" applyBorder="1" applyAlignment="1" applyProtection="1">
      <alignment horizontal="center" vertical="center"/>
      <protection locked="0"/>
    </xf>
    <xf numFmtId="9" fontId="3" fillId="4" borderId="2" xfId="1" applyFont="1" applyFill="1" applyBorder="1" applyAlignment="1" applyProtection="1">
      <alignment horizontal="center" vertical="center"/>
      <protection locked="0"/>
    </xf>
    <xf numFmtId="0" fontId="6" fillId="0" borderId="0" xfId="0" applyFont="1"/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" fillId="4" borderId="6" xfId="0" applyNumberFormat="1" applyFont="1" applyFill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3" fontId="2" fillId="0" borderId="5" xfId="0" applyNumberFormat="1" applyFont="1" applyBorder="1" applyAlignment="1">
      <alignment horizontal="center" vertical="center"/>
    </xf>
    <xf numFmtId="3" fontId="3" fillId="2" borderId="4" xfId="0" applyNumberFormat="1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3" fontId="2" fillId="0" borderId="14" xfId="0" applyNumberFormat="1" applyFont="1" applyBorder="1" applyAlignment="1">
      <alignment horizontal="center" vertical="center"/>
    </xf>
    <xf numFmtId="3" fontId="2" fillId="0" borderId="3" xfId="0" applyNumberFormat="1" applyFont="1" applyBorder="1" applyAlignment="1">
      <alignment horizontal="center" vertical="center"/>
    </xf>
    <xf numFmtId="3" fontId="3" fillId="0" borderId="21" xfId="0" applyNumberFormat="1" applyFont="1" applyBorder="1" applyAlignment="1">
      <alignment horizontal="center" vertical="center"/>
    </xf>
    <xf numFmtId="3" fontId="3" fillId="0" borderId="10" xfId="0" applyNumberFormat="1" applyFont="1" applyBorder="1" applyAlignment="1">
      <alignment horizontal="center" vertical="center"/>
    </xf>
    <xf numFmtId="3" fontId="2" fillId="0" borderId="2" xfId="0" applyNumberFormat="1" applyFont="1" applyBorder="1" applyAlignment="1">
      <alignment horizontal="center" vertical="center"/>
    </xf>
    <xf numFmtId="3" fontId="3" fillId="2" borderId="5" xfId="0" applyNumberFormat="1" applyFont="1" applyFill="1" applyBorder="1" applyAlignment="1">
      <alignment horizontal="center" vertical="center"/>
    </xf>
    <xf numFmtId="3" fontId="3" fillId="2" borderId="2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9" fillId="0" borderId="30" xfId="0" applyNumberFormat="1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left" vertical="center"/>
    </xf>
    <xf numFmtId="3" fontId="3" fillId="3" borderId="3" xfId="0" applyNumberFormat="1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49" fontId="2" fillId="0" borderId="0" xfId="0" applyNumberFormat="1" applyFont="1" applyBorder="1" applyAlignment="1"/>
    <xf numFmtId="0" fontId="6" fillId="0" borderId="0" xfId="0" applyFont="1" applyBorder="1" applyAlignment="1">
      <alignment horizontal="left"/>
    </xf>
    <xf numFmtId="49" fontId="2" fillId="0" borderId="0" xfId="0" applyNumberFormat="1" applyFont="1" applyBorder="1" applyAlignment="1">
      <alignment vertical="center"/>
    </xf>
    <xf numFmtId="0" fontId="2" fillId="0" borderId="0" xfId="0" applyFont="1" applyBorder="1" applyAlignment="1">
      <alignment vertical="center"/>
    </xf>
    <xf numFmtId="3" fontId="4" fillId="0" borderId="0" xfId="0" applyNumberFormat="1" applyFont="1" applyBorder="1" applyAlignment="1">
      <alignment horizontal="right" vertical="center"/>
    </xf>
    <xf numFmtId="0" fontId="3" fillId="0" borderId="0" xfId="0" applyFont="1" applyBorder="1" applyAlignment="1">
      <alignment horizontal="left" vertical="center"/>
    </xf>
    <xf numFmtId="9" fontId="2" fillId="0" borderId="0" xfId="0" applyNumberFormat="1" applyFont="1" applyBorder="1" applyAlignment="1">
      <alignment horizontal="right" vertical="center"/>
    </xf>
    <xf numFmtId="3" fontId="2" fillId="0" borderId="0" xfId="0" applyNumberFormat="1" applyFont="1" applyBorder="1" applyAlignment="1">
      <alignment horizontal="right" vertical="center"/>
    </xf>
    <xf numFmtId="0" fontId="4" fillId="0" borderId="0" xfId="0" applyFont="1" applyBorder="1" applyAlignment="1">
      <alignment horizontal="left" vertical="center"/>
    </xf>
    <xf numFmtId="0" fontId="6" fillId="0" borderId="35" xfId="0" applyFont="1" applyBorder="1" applyAlignment="1">
      <alignment vertical="center"/>
    </xf>
    <xf numFmtId="0" fontId="6" fillId="0" borderId="36" xfId="0" applyFont="1" applyBorder="1" applyAlignment="1">
      <alignment vertical="center"/>
    </xf>
    <xf numFmtId="0" fontId="6" fillId="0" borderId="18" xfId="0" applyFont="1" applyBorder="1" applyAlignment="1">
      <alignment vertical="center"/>
    </xf>
    <xf numFmtId="0" fontId="6" fillId="0" borderId="37" xfId="0" applyFont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3" fontId="2" fillId="0" borderId="17" xfId="0" applyNumberFormat="1" applyFont="1" applyBorder="1" applyAlignment="1">
      <alignment horizontal="right" vertical="center"/>
    </xf>
    <xf numFmtId="3" fontId="2" fillId="0" borderId="17" xfId="0" applyNumberFormat="1" applyFont="1" applyBorder="1" applyAlignment="1">
      <alignment vertical="center"/>
    </xf>
    <xf numFmtId="0" fontId="6" fillId="0" borderId="33" xfId="0" applyFont="1" applyBorder="1"/>
    <xf numFmtId="0" fontId="6" fillId="0" borderId="30" xfId="0" applyFont="1" applyBorder="1"/>
    <xf numFmtId="0" fontId="6" fillId="0" borderId="21" xfId="0" applyFont="1" applyBorder="1"/>
    <xf numFmtId="0" fontId="6" fillId="0" borderId="17" xfId="0" applyFont="1" applyBorder="1" applyAlignment="1">
      <alignment horizontal="center"/>
    </xf>
    <xf numFmtId="0" fontId="6" fillId="0" borderId="17" xfId="0" applyFont="1" applyBorder="1" applyAlignment="1">
      <alignment horizontal="center" vertical="top"/>
    </xf>
    <xf numFmtId="0" fontId="2" fillId="2" borderId="14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0" fillId="5" borderId="0" xfId="0" applyFill="1"/>
    <xf numFmtId="0" fontId="2" fillId="5" borderId="0" xfId="0" applyFont="1" applyFill="1" applyAlignment="1">
      <alignment horizontal="center" vertical="center"/>
    </xf>
    <xf numFmtId="164" fontId="2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NumberFormat="1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64" fontId="4" fillId="5" borderId="14" xfId="0" applyNumberFormat="1" applyFont="1" applyFill="1" applyBorder="1" applyAlignment="1">
      <alignment horizontal="center" vertical="center"/>
    </xf>
    <xf numFmtId="164" fontId="4" fillId="5" borderId="31" xfId="0" applyNumberFormat="1" applyFont="1" applyFill="1" applyBorder="1" applyAlignment="1">
      <alignment horizontal="center" vertical="center"/>
    </xf>
    <xf numFmtId="164" fontId="4" fillId="5" borderId="32" xfId="0" applyNumberFormat="1" applyFont="1" applyFill="1" applyBorder="1" applyAlignment="1">
      <alignment horizontal="center" vertical="center"/>
    </xf>
    <xf numFmtId="3" fontId="2" fillId="5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14" fontId="3" fillId="5" borderId="4" xfId="0" applyNumberFormat="1" applyFont="1" applyFill="1" applyBorder="1" applyAlignment="1">
      <alignment horizontal="center" vertical="center"/>
    </xf>
    <xf numFmtId="3" fontId="2" fillId="5" borderId="4" xfId="0" applyNumberFormat="1" applyFont="1" applyFill="1" applyBorder="1" applyAlignment="1">
      <alignment horizontal="center" vertical="center"/>
    </xf>
    <xf numFmtId="3" fontId="2" fillId="5" borderId="13" xfId="0" applyNumberFormat="1" applyFont="1" applyFill="1" applyBorder="1" applyAlignment="1">
      <alignment horizontal="center" vertical="center"/>
    </xf>
    <xf numFmtId="3" fontId="3" fillId="5" borderId="21" xfId="0" applyNumberFormat="1" applyFont="1" applyFill="1" applyBorder="1" applyAlignment="1">
      <alignment horizontal="center" vertical="center"/>
    </xf>
    <xf numFmtId="0" fontId="2" fillId="5" borderId="0" xfId="0" applyNumberFormat="1" applyFont="1" applyFill="1" applyAlignment="1">
      <alignment horizontal="center" vertical="center"/>
    </xf>
    <xf numFmtId="3" fontId="2" fillId="5" borderId="5" xfId="0" applyNumberFormat="1" applyFont="1" applyFill="1" applyBorder="1" applyAlignment="1">
      <alignment horizontal="center" vertical="center"/>
    </xf>
    <xf numFmtId="3" fontId="2" fillId="5" borderId="0" xfId="0" applyNumberFormat="1" applyFont="1" applyFill="1" applyAlignment="1">
      <alignment horizontal="center" vertical="center"/>
    </xf>
    <xf numFmtId="3" fontId="2" fillId="5" borderId="27" xfId="0" applyNumberFormat="1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3" fontId="2" fillId="5" borderId="14" xfId="0" applyNumberFormat="1" applyFont="1" applyFill="1" applyBorder="1" applyAlignment="1">
      <alignment horizontal="center" vertical="center"/>
    </xf>
    <xf numFmtId="3" fontId="2" fillId="5" borderId="3" xfId="0" applyNumberFormat="1" applyFont="1" applyFill="1" applyBorder="1" applyAlignment="1">
      <alignment horizontal="center" vertical="center"/>
    </xf>
    <xf numFmtId="3" fontId="3" fillId="5" borderId="17" xfId="0" applyNumberFormat="1" applyFont="1" applyFill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5" borderId="4" xfId="0" applyNumberFormat="1" applyFont="1" applyFill="1" applyBorder="1" applyAlignment="1">
      <alignment horizontal="center" vertical="center"/>
    </xf>
    <xf numFmtId="3" fontId="3" fillId="5" borderId="33" xfId="0" applyNumberFormat="1" applyFont="1" applyFill="1" applyBorder="1" applyAlignment="1">
      <alignment horizontal="center" vertical="center"/>
    </xf>
    <xf numFmtId="3" fontId="3" fillId="5" borderId="34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10" xfId="0" quotePrefix="1" applyFont="1" applyBorder="1" applyAlignment="1">
      <alignment horizontal="left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33" xfId="0" applyFont="1" applyFill="1" applyBorder="1" applyAlignment="1">
      <alignment horizontal="left" vertical="center"/>
    </xf>
    <xf numFmtId="0" fontId="3" fillId="5" borderId="21" xfId="0" applyFont="1" applyFill="1" applyBorder="1" applyAlignment="1">
      <alignment horizontal="left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5" fillId="0" borderId="25" xfId="0" applyNumberFormat="1" applyFont="1" applyBorder="1" applyAlignment="1">
      <alignment horizontal="right" vertical="center" readingOrder="2"/>
    </xf>
    <xf numFmtId="0" fontId="5" fillId="0" borderId="26" xfId="0" applyNumberFormat="1" applyFont="1" applyBorder="1" applyAlignment="1">
      <alignment horizontal="right" vertical="center" readingOrder="2"/>
    </xf>
    <xf numFmtId="0" fontId="6" fillId="5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/>
    </xf>
    <xf numFmtId="0" fontId="5" fillId="3" borderId="29" xfId="0" applyNumberFormat="1" applyFont="1" applyFill="1" applyBorder="1" applyAlignment="1">
      <alignment horizontal="right" vertical="center" readingOrder="2"/>
    </xf>
    <xf numFmtId="0" fontId="5" fillId="3" borderId="28" xfId="0" applyNumberFormat="1" applyFont="1" applyFill="1" applyBorder="1" applyAlignment="1">
      <alignment horizontal="right" vertical="center" readingOrder="2"/>
    </xf>
    <xf numFmtId="49" fontId="2" fillId="0" borderId="14" xfId="0" applyNumberFormat="1" applyFont="1" applyBorder="1" applyAlignment="1" applyProtection="1">
      <alignment horizontal="right" vertical="center"/>
      <protection locked="0"/>
    </xf>
    <xf numFmtId="49" fontId="2" fillId="0" borderId="3" xfId="0" applyNumberFormat="1" applyFont="1" applyBorder="1" applyAlignment="1" applyProtection="1">
      <alignment horizontal="right" vertical="center"/>
      <protection locked="0"/>
    </xf>
    <xf numFmtId="49" fontId="2" fillId="0" borderId="1" xfId="0" applyNumberFormat="1" applyFont="1" applyBorder="1" applyAlignment="1" applyProtection="1">
      <alignment horizontal="right" vertical="center"/>
      <protection locked="0"/>
    </xf>
    <xf numFmtId="49" fontId="2" fillId="0" borderId="2" xfId="0" applyNumberFormat="1" applyFont="1" applyBorder="1" applyAlignment="1" applyProtection="1">
      <alignment horizontal="right" vertical="center"/>
      <protection locked="0"/>
    </xf>
    <xf numFmtId="49" fontId="2" fillId="0" borderId="20" xfId="0" applyNumberFormat="1" applyFont="1" applyBorder="1" applyAlignment="1" applyProtection="1">
      <alignment horizontal="right" vertical="center"/>
      <protection locked="0"/>
    </xf>
    <xf numFmtId="49" fontId="2" fillId="0" borderId="13" xfId="0" applyNumberFormat="1" applyFont="1" applyBorder="1" applyAlignment="1" applyProtection="1">
      <alignment horizontal="right" vertical="center"/>
      <protection locked="0"/>
    </xf>
    <xf numFmtId="0" fontId="3" fillId="0" borderId="3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49" fontId="3" fillId="0" borderId="36" xfId="0" applyNumberFormat="1" applyFont="1" applyBorder="1" applyAlignment="1">
      <alignment horizontal="center"/>
    </xf>
    <xf numFmtId="0" fontId="3" fillId="0" borderId="30" xfId="0" applyFont="1" applyBorder="1" applyAlignment="1">
      <alignment horizontal="center" vertical="top"/>
    </xf>
    <xf numFmtId="0" fontId="3" fillId="0" borderId="37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3" fillId="0" borderId="37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13</xdr:row>
          <xdr:rowOff>228600</xdr:rowOff>
        </xdr:from>
        <xdr:to>
          <xdr:col>1</xdr:col>
          <xdr:colOff>438150</xdr:colOff>
          <xdr:row>15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1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cs typeface="B Nazanin"/>
                </a:rPr>
                <a:t>محاسبه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B Nazanin"/>
                </a:rPr>
                <a:t> / چاپ</a:t>
              </a:r>
              <a:endParaRPr lang="en-US" sz="1200" b="1" i="0" u="none" strike="noStrike" baseline="0">
                <a:solidFill>
                  <a:srgbClr val="000000"/>
                </a:solidFill>
                <a:cs typeface="B Nazanin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532"/>
  <sheetViews>
    <sheetView rightToLeft="1" tabSelected="1" workbookViewId="0">
      <selection activeCell="B9" sqref="B9"/>
    </sheetView>
  </sheetViews>
  <sheetFormatPr defaultColWidth="9" defaultRowHeight="18.75"/>
  <cols>
    <col min="1" max="1" width="14.85546875" style="1" customWidth="1"/>
    <col min="2" max="2" width="13.28515625" style="1" customWidth="1"/>
    <col min="3" max="3" width="13.42578125" style="1" customWidth="1"/>
    <col min="4" max="4" width="15.42578125" style="2" customWidth="1"/>
    <col min="5" max="5" width="4.42578125" style="80" customWidth="1"/>
    <col min="6" max="6" width="16.140625" style="79" customWidth="1"/>
    <col min="7" max="7" width="14" style="79" customWidth="1"/>
    <col min="8" max="8" width="12.28515625" style="79" customWidth="1"/>
    <col min="9" max="9" width="16.85546875" style="79" customWidth="1"/>
    <col min="10" max="10" width="17.7109375" style="79" customWidth="1"/>
    <col min="11" max="11" width="4.85546875" style="79" customWidth="1"/>
    <col min="12" max="12" width="12.42578125" style="79" customWidth="1"/>
    <col min="13" max="13" width="10.42578125" style="79" customWidth="1"/>
    <col min="14" max="14" width="10.140625" style="79" customWidth="1"/>
    <col min="15" max="16384" width="9" style="80"/>
  </cols>
  <sheetData>
    <row r="1" spans="1:16" ht="26.25" customHeight="1" thickBot="1">
      <c r="A1" s="78"/>
      <c r="B1" s="78"/>
      <c r="C1" s="80"/>
      <c r="D1" s="81"/>
      <c r="F1" s="80"/>
      <c r="G1" s="80"/>
      <c r="H1" s="80"/>
      <c r="I1" s="80"/>
      <c r="O1" s="79"/>
      <c r="P1" s="79"/>
    </row>
    <row r="2" spans="1:16" ht="22.5" customHeight="1" thickBot="1">
      <c r="A2" s="117" t="s">
        <v>12</v>
      </c>
      <c r="B2" s="118"/>
      <c r="C2" s="118"/>
      <c r="D2" s="119"/>
      <c r="E2" s="112" t="s">
        <v>3</v>
      </c>
      <c r="F2" s="113"/>
      <c r="G2" s="113"/>
      <c r="H2" s="113"/>
      <c r="I2" s="114"/>
      <c r="J2" s="84" t="s">
        <v>4</v>
      </c>
      <c r="K2" s="84" t="s">
        <v>6</v>
      </c>
      <c r="L2" s="85" t="s">
        <v>7</v>
      </c>
      <c r="M2" s="85" t="s">
        <v>8</v>
      </c>
      <c r="N2" s="85" t="s">
        <v>9</v>
      </c>
      <c r="O2" s="85" t="s">
        <v>10</v>
      </c>
      <c r="P2" s="85" t="s">
        <v>11</v>
      </c>
    </row>
    <row r="3" spans="1:16" ht="20.25" customHeight="1" thickBot="1">
      <c r="A3" s="16" t="s">
        <v>2</v>
      </c>
      <c r="B3" s="130" t="s">
        <v>52</v>
      </c>
      <c r="C3" s="130"/>
      <c r="D3" s="131"/>
      <c r="E3" s="86" t="s">
        <v>1</v>
      </c>
      <c r="F3" s="86" t="s">
        <v>0</v>
      </c>
      <c r="G3" s="87" t="s">
        <v>19</v>
      </c>
      <c r="H3" s="88" t="s">
        <v>20</v>
      </c>
      <c r="I3" s="89" t="s">
        <v>49</v>
      </c>
      <c r="J3" s="90">
        <f>(L27+M27+N27+O27+P27)/Main!$B$11</f>
        <v>117252968.03652966</v>
      </c>
      <c r="K3" s="91">
        <f>IF(Main!$B$11&lt;&gt;"",1,"")</f>
        <v>1</v>
      </c>
      <c r="L3" s="90">
        <f>IF(AND((Main!$D$6&gt;0),(K3&lt;&gt;"")),((Main!$D$6/Main!$B$11)*j_diff(Main!$D$7,F4)*Main!$B$7)/365,"")</f>
        <v>41408219.17808219</v>
      </c>
      <c r="M3" s="90">
        <f>IF(AND((Main!$D$8&gt;0),(K3&lt;&gt;"")),((Main!$D$8/Main!$B$11)*j_diff(Main!$D$9,F4)*Main!$B$7)/365,"")</f>
        <v>26842009.132420089</v>
      </c>
      <c r="N3" s="90">
        <f>IF(AND((Main!$D$10&gt;0),(K3&lt;&gt;"")),((Main!$D$10/Main!$B$11)*j_diff(Main!$D$11,F4)*Main!$B$7)/365,"")</f>
        <v>5484931.506849315</v>
      </c>
      <c r="O3" s="90" t="str">
        <f>IF(AND((Main!$D$12&gt;0),(K3&lt;&gt;"")),((Main!$D$12/Main!$B$11)*j_diff(Main!$D$13,F4)*Main!$B$7)/365,"")</f>
        <v/>
      </c>
      <c r="P3" s="90" t="str">
        <f>IF(AND((Main!$D$14&gt;0),(K3&lt;&gt;"")),((Main!$D$14/Main!$B$11)*j_diff(Main!$D$15,F4)*Main!$B$7)/365,"")</f>
        <v/>
      </c>
    </row>
    <row r="4" spans="1:16" ht="21" customHeight="1">
      <c r="A4" s="17" t="s">
        <v>5</v>
      </c>
      <c r="B4" s="128" t="s">
        <v>53</v>
      </c>
      <c r="C4" s="128"/>
      <c r="D4" s="129"/>
      <c r="E4" s="92">
        <f>IF(Main!$B$11&lt;&gt;"",1,"")</f>
        <v>1</v>
      </c>
      <c r="F4" s="93" t="str">
        <f>IF(Main!$D$7&lt;&gt;"",AddMonth(Main!$D$7,(Main!$B$9+Main!$B$10+(Main!$B$12/Main!$B$11))),"")</f>
        <v>1398/05/10</v>
      </c>
      <c r="G4" s="94">
        <f>IF(E4&lt;&gt;"",(Main!$D$6/Main!$B$11)+IF(Main!$D$8&gt;0,(Main!$D$8/Main!$B$11)+IF(Main!$D$10&gt;0,(Main!$D$10/Main!$B$11)+IF(Main!$D$12&gt;0,(Main!$D$12/Main!$B$11)+IF(Main!$D$14&gt;0,(Main!$D$14/Main!$B$11))))))</f>
        <v>633333333.33333325</v>
      </c>
      <c r="H4" s="95">
        <f>IF(E4&lt;&gt;"",J3,"")</f>
        <v>117252968.03652966</v>
      </c>
      <c r="I4" s="96">
        <f>IF(E4&lt;&gt;"",SUM(G4:H4),"")</f>
        <v>750586301.36986291</v>
      </c>
      <c r="J4" s="97">
        <f>j_diff(Main!$D$9,F4)</f>
        <v>334</v>
      </c>
      <c r="K4" s="91">
        <f>IF(K3&lt;&gt;"",IF(Main!$B$11-K3&gt;=1,K3+1,""),"")</f>
        <v>2</v>
      </c>
      <c r="L4" s="90">
        <f>IF(AND((Main!$D$6&gt;0),(K4&lt;&gt;"")),((Main!$D$6/Main!$B$11)*j_diff(Main!$D$7,F5)*Main!$B$7)/365,"")</f>
        <v>49726027.397260271</v>
      </c>
      <c r="M4" s="90">
        <f>IF(AND((Main!$D$8&gt;0),(K4&lt;&gt;"")),((Main!$D$8/Main!$B$11)*j_diff(Main!$D$9,F5)*Main!$B$7)/365,"")</f>
        <v>34235616.438356161</v>
      </c>
      <c r="N4" s="90">
        <f>IF(AND((Main!$D$10&gt;0),(K4&lt;&gt;"")),((Main!$D$10/Main!$B$11)*j_diff(Main!$D$11,F5)*Main!$B$7)/365,"")</f>
        <v>7333333.333333333</v>
      </c>
      <c r="O4" s="90" t="str">
        <f>IF(AND((Main!$D$12&gt;0),(K4&lt;&gt;"")),((Main!$D$12/Main!$B$11)*j_diff(Main!$D$13,F5)*Main!$B$7)/365,"")</f>
        <v/>
      </c>
      <c r="P4" s="90" t="str">
        <f>IF(AND((Main!$D$14&gt;0),(K4&lt;&gt;"")),((Main!$D$14/Main!$B$11)*j_diff(Main!$D$15,F5)*Main!$B$7)/365,"")</f>
        <v/>
      </c>
    </row>
    <row r="5" spans="1:16" ht="21" customHeight="1" thickBot="1">
      <c r="A5" s="7" t="s">
        <v>13</v>
      </c>
      <c r="B5" s="126" t="s">
        <v>51</v>
      </c>
      <c r="C5" s="126"/>
      <c r="D5" s="127"/>
      <c r="E5" s="91">
        <f>IF(E4&lt;&gt;"",IF(Main!$B$11-E4&gt;=1,E4+1,""),"")</f>
        <v>2</v>
      </c>
      <c r="F5" s="84" t="str">
        <f>IF(F4&lt;&gt;"",IF(E5&lt;&gt;"",AddMonth(F4,(Main!$B$12/Main!$B$11)),""),"")</f>
        <v>1398/08/10</v>
      </c>
      <c r="G5" s="94">
        <f>IF(E5&lt;&gt;"",(Main!$D$6/Main!$B$11)+IF(Main!$D$8&gt;0,(Main!$D$8/Main!$B$11)+IF(Main!$D$10&gt;0,(Main!$D$10/Main!$B$11)+IF(Main!$D$12&gt;0,(Main!$D$12/Main!$B$11)+IF(Main!$D$14&gt;0,(Main!$D$14/Main!$B$11))))))</f>
        <v>633333333.33333325</v>
      </c>
      <c r="H5" s="98">
        <f>IF(E5&lt;&gt;"",J3,"")</f>
        <v>117252968.03652966</v>
      </c>
      <c r="I5" s="96">
        <f t="shared" ref="I5:I27" si="0">IF(E5&lt;&gt;"",SUM(G5:H5),"")</f>
        <v>750586301.36986291</v>
      </c>
      <c r="J5" s="99"/>
      <c r="K5" s="91">
        <f>IF(K4&lt;&gt;"",IF(Main!$B$11-K4&gt;=1,K4+1,""),"")</f>
        <v>3</v>
      </c>
      <c r="L5" s="90">
        <f>IF(AND((Main!$D$6&gt;0),(K5&lt;&gt;"")),((Main!$D$6/Main!$B$11)*j_diff(Main!$D$7,F6)*Main!$B$7)/365,"")</f>
        <v>57863013.698630139</v>
      </c>
      <c r="M5" s="90">
        <f>IF(AND((Main!$D$8&gt;0),(K5&lt;&gt;"")),((Main!$D$8/Main!$B$11)*j_diff(Main!$D$9,F6)*Main!$B$7)/365,"")</f>
        <v>41468493.15068493</v>
      </c>
      <c r="N5" s="90">
        <f>IF(AND((Main!$D$10&gt;0),(K5&lt;&gt;"")),((Main!$D$10/Main!$B$11)*j_diff(Main!$D$11,F6)*Main!$B$7)/365,"")</f>
        <v>9141552.5114155244</v>
      </c>
      <c r="O5" s="90" t="str">
        <f>IF(AND((Main!$D$12&gt;0),(K5&lt;&gt;"")),((Main!$D$12/Main!$B$11)*j_diff(Main!$D$13,F6)*Main!$B$7)/365,"")</f>
        <v/>
      </c>
      <c r="P5" s="90" t="str">
        <f>IF(AND((Main!$D$14&gt;0),(K5&lt;&gt;"")),((Main!$D$14/Main!$B$11)*j_diff(Main!$D$15,F6)*Main!$B$7)/365,"")</f>
        <v/>
      </c>
    </row>
    <row r="6" spans="1:16" ht="21">
      <c r="A6" s="18" t="s">
        <v>23</v>
      </c>
      <c r="B6" s="19">
        <v>3800000000</v>
      </c>
      <c r="C6" s="10" t="s">
        <v>28</v>
      </c>
      <c r="D6" s="14">
        <v>1800000000</v>
      </c>
      <c r="E6" s="91">
        <f>IF(E5&lt;&gt;"",IF(Main!$B$11-E5&gt;=1,E5+1,""),"")</f>
        <v>3</v>
      </c>
      <c r="F6" s="84" t="str">
        <f>IF(F5&lt;&gt;"",IF(E6&lt;&gt;"",AddMonth(F5,(Main!$B$12/Main!$B$11)),""),"")</f>
        <v>1398/11/10</v>
      </c>
      <c r="G6" s="94">
        <f>IF(E6&lt;&gt;"",(Main!$D$6/Main!$B$11)+IF(Main!$D$8&gt;0,(Main!$D$8/Main!$B$11)+IF(Main!$D$10&gt;0,(Main!$D$10/Main!$B$11)+IF(Main!$D$12&gt;0,(Main!$D$12/Main!$B$11)+IF(Main!$D$14&gt;0,(Main!$D$14/Main!$B$11))))))</f>
        <v>633333333.33333325</v>
      </c>
      <c r="H6" s="98">
        <f>IF(E6&lt;&gt;"",J3,"")</f>
        <v>117252968.03652966</v>
      </c>
      <c r="I6" s="96">
        <f t="shared" si="0"/>
        <v>750586301.36986291</v>
      </c>
      <c r="J6" s="80"/>
      <c r="K6" s="91">
        <f>IF(K5&lt;&gt;"",IF(Main!$B$11-K5&gt;=1,K5+1,""),"")</f>
        <v>4</v>
      </c>
      <c r="L6" s="90">
        <f>IF(AND((Main!$D$6&gt;0),(K6&lt;&gt;"")),((Main!$D$6/Main!$B$11)*j_diff(Main!$D$7,F7)*Main!$B$7)/365,"")</f>
        <v>66000000</v>
      </c>
      <c r="M6" s="90">
        <f>IF(AND((Main!$D$8&gt;0),(K6&lt;&gt;"")),((Main!$D$8/Main!$B$11)*j_diff(Main!$D$9,F7)*Main!$B$7)/365,"")</f>
        <v>48701369.8630137</v>
      </c>
      <c r="N6" s="90">
        <f>IF(AND((Main!$D$10&gt;0),(K6&lt;&gt;"")),((Main!$D$10/Main!$B$11)*j_diff(Main!$D$11,F7)*Main!$B$7)/365,"")</f>
        <v>10949771.689497715</v>
      </c>
      <c r="O6" s="90" t="str">
        <f>IF(AND((Main!$D$12&gt;0),(K6&lt;&gt;"")),((Main!$D$12/Main!$B$11)*j_diff(Main!$D$13,F7)*Main!$B$7)/365,"")</f>
        <v/>
      </c>
      <c r="P6" s="90" t="str">
        <f>IF(AND((Main!$D$14&gt;0),(K6&lt;&gt;"")),((Main!$D$14/Main!$B$11)*j_diff(Main!$D$15,F7)*Main!$B$7)/365,"")</f>
        <v/>
      </c>
    </row>
    <row r="7" spans="1:16" ht="19.5" customHeight="1">
      <c r="A7" s="111" t="s">
        <v>50</v>
      </c>
      <c r="B7" s="20">
        <v>0.11</v>
      </c>
      <c r="C7" s="11" t="s">
        <v>29</v>
      </c>
      <c r="D7" s="15" t="s">
        <v>54</v>
      </c>
      <c r="E7" s="91">
        <f>IF(E6&lt;&gt;"",IF(Main!$B$11-E6&gt;=1,E6+1,""),"")</f>
        <v>4</v>
      </c>
      <c r="F7" s="84" t="str">
        <f>IF(F6&lt;&gt;"",IF(E7&lt;&gt;"",AddMonth(F6,(Main!$B$12/Main!$B$11)),""),"")</f>
        <v>1399/02/10</v>
      </c>
      <c r="G7" s="94">
        <f>IF(E7&lt;&gt;"",(Main!$D$6/Main!$B$11)+IF(Main!$D$8&gt;0,(Main!$D$8/Main!$B$11)+IF(Main!$D$10&gt;0,(Main!$D$10/Main!$B$11)+IF(Main!$D$12&gt;0,(Main!$D$12/Main!$B$11)+IF(Main!$D$14&gt;0,(Main!$D$14/Main!$B$11))))))</f>
        <v>633333333.33333325</v>
      </c>
      <c r="H7" s="98">
        <f>IF(E7&lt;&gt;"",J3,"")</f>
        <v>117252968.03652966</v>
      </c>
      <c r="I7" s="96">
        <f t="shared" si="0"/>
        <v>750586301.36986291</v>
      </c>
      <c r="J7" s="80"/>
      <c r="K7" s="91">
        <f>IF(K6&lt;&gt;"",IF(Main!$B$11-K6&gt;=1,K6+1,""),"")</f>
        <v>5</v>
      </c>
      <c r="L7" s="90">
        <f>IF(AND((Main!$D$6&gt;0),(K7&lt;&gt;"")),((Main!$D$6/Main!$B$11)*j_diff(Main!$D$7,F8)*Main!$B$7)/365,"")</f>
        <v>74408219.178082198</v>
      </c>
      <c r="M7" s="90">
        <f>IF(AND((Main!$D$8&gt;0),(K7&lt;&gt;"")),((Main!$D$8/Main!$B$11)*j_diff(Main!$D$9,F8)*Main!$B$7)/365,"")</f>
        <v>56175342.465753421</v>
      </c>
      <c r="N7" s="90">
        <f>IF(AND((Main!$D$10&gt;0),(K7&lt;&gt;"")),((Main!$D$10/Main!$B$11)*j_diff(Main!$D$11,F8)*Main!$B$7)/365,"")</f>
        <v>12818264.840182647</v>
      </c>
      <c r="O7" s="90" t="str">
        <f>IF(AND((Main!$D$12&gt;0),(K7&lt;&gt;"")),((Main!$D$12/Main!$B$11)*j_diff(Main!$D$13,F8)*Main!$B$7)/365,"")</f>
        <v/>
      </c>
      <c r="P7" s="90" t="str">
        <f>IF(AND((Main!$D$14&gt;0),(K7&lt;&gt;"")),((Main!$D$14/Main!$B$11)*j_diff(Main!$D$15,F8)*Main!$B$7)/365,"")</f>
        <v/>
      </c>
    </row>
    <row r="8" spans="1:16" ht="19.5" customHeight="1">
      <c r="A8" s="11" t="s">
        <v>24</v>
      </c>
      <c r="B8" s="13">
        <v>3</v>
      </c>
      <c r="C8" s="9" t="s">
        <v>30</v>
      </c>
      <c r="D8" s="14">
        <v>1600000000</v>
      </c>
      <c r="E8" s="91">
        <f>IF(E7&lt;&gt;"",IF(Main!$B$11-E7&gt;=1,E7+1,""),"")</f>
        <v>5</v>
      </c>
      <c r="F8" s="84" t="str">
        <f>IF(F7&lt;&gt;"",IF(E8&lt;&gt;"",AddMonth(F7,(Main!$B$12/Main!$B$11)),""),"")</f>
        <v>1399/05/10</v>
      </c>
      <c r="G8" s="94">
        <f>IF(E8&lt;&gt;"",(Main!$D$6/Main!$B$11)+IF(Main!$D$8&gt;0,(Main!$D$8/Main!$B$11)+IF(Main!$D$10&gt;0,(Main!$D$10/Main!$B$11)+IF(Main!$D$12&gt;0,(Main!$D$12/Main!$B$11)+IF(Main!$D$14&gt;0,(Main!$D$14/Main!$B$11))))))</f>
        <v>633333333.33333325</v>
      </c>
      <c r="H8" s="98">
        <f>IF(E8&lt;&gt;"",J3,"")</f>
        <v>117252968.03652966</v>
      </c>
      <c r="I8" s="96">
        <f t="shared" si="0"/>
        <v>750586301.36986291</v>
      </c>
      <c r="J8" s="80"/>
      <c r="K8" s="91">
        <f>IF(K7&lt;&gt;"",IF(Main!$B$11-K7&gt;=1,K7+1,""),"")</f>
        <v>6</v>
      </c>
      <c r="L8" s="90">
        <f>IF(AND((Main!$D$6&gt;0),(K8&lt;&gt;"")),((Main!$D$6/Main!$B$11)*j_diff(Main!$D$7,F9)*Main!$B$7)/365,"")</f>
        <v>82726027.397260278</v>
      </c>
      <c r="M8" s="90">
        <f>IF(AND((Main!$D$8&gt;0),(K8&lt;&gt;"")),((Main!$D$8/Main!$B$11)*j_diff(Main!$D$9,F9)*Main!$B$7)/365,"")</f>
        <v>63568949.771689489</v>
      </c>
      <c r="N8" s="90">
        <f>IF(AND((Main!$D$10&gt;0),(K8&lt;&gt;"")),((Main!$D$10/Main!$B$11)*j_diff(Main!$D$11,F9)*Main!$B$7)/365,"")</f>
        <v>14666666.666666666</v>
      </c>
      <c r="O8" s="90" t="str">
        <f>IF(AND((Main!$D$12&gt;0),(K8&lt;&gt;"")),((Main!$D$12/Main!$B$11)*j_diff(Main!$D$13,F9)*Main!$B$7)/365,"")</f>
        <v/>
      </c>
      <c r="P8" s="90" t="str">
        <f>IF(AND((Main!$D$14&gt;0),(K8&lt;&gt;"")),((Main!$D$14/Main!$B$11)*j_diff(Main!$D$15,F9)*Main!$B$7)/365,"")</f>
        <v/>
      </c>
    </row>
    <row r="9" spans="1:16" ht="21">
      <c r="A9" s="9" t="s">
        <v>25</v>
      </c>
      <c r="B9" s="12">
        <v>6</v>
      </c>
      <c r="C9" s="9" t="s">
        <v>31</v>
      </c>
      <c r="D9" s="15" t="s">
        <v>55</v>
      </c>
      <c r="E9" s="91">
        <f>IF(E8&lt;&gt;"",IF(Main!$B$11-E8&gt;=1,E8+1,""),"")</f>
        <v>6</v>
      </c>
      <c r="F9" s="84" t="str">
        <f>IF(F8&lt;&gt;"",IF(E9&lt;&gt;"",AddMonth(F8,(Main!$B$12/Main!$B$11)),""),"")</f>
        <v>1399/08/10</v>
      </c>
      <c r="G9" s="94">
        <f>IF(E9&lt;&gt;"",(Main!$D$6/Main!$B$11)+IF(Main!$D$8&gt;0,(Main!$D$8/Main!$B$11)+IF(Main!$D$10&gt;0,(Main!$D$10/Main!$B$11)+IF(Main!$D$12&gt;0,(Main!$D$12/Main!$B$11)+IF(Main!$D$14&gt;0,(Main!$D$14/Main!$B$11))))))</f>
        <v>633333333.33333325</v>
      </c>
      <c r="H9" s="98">
        <f>IF(E9&lt;&gt;"",J3,"")</f>
        <v>117252968.03652966</v>
      </c>
      <c r="I9" s="96">
        <f t="shared" si="0"/>
        <v>750586301.36986291</v>
      </c>
      <c r="J9" s="97"/>
      <c r="K9" s="91" t="str">
        <f>IF(K8&lt;&gt;"",IF(Main!$B$11-K8&gt;=1,K8+1,""),"")</f>
        <v/>
      </c>
      <c r="L9" s="90" t="str">
        <f>IF(AND((Main!$D$6&gt;0),(K9&lt;&gt;"")),((Main!$D$6/Main!$B$11)*j_diff(Main!$D$7,F10)*Main!$B$7)/365,"")</f>
        <v/>
      </c>
      <c r="M9" s="90" t="str">
        <f>IF(AND((Main!$D$8&gt;0),(K9&lt;&gt;"")),((Main!$D$8/Main!$B$11)*j_diff(Main!$D$9,F10)*Main!$B$7)/365,"")</f>
        <v/>
      </c>
      <c r="N9" s="90" t="str">
        <f>IF(AND((Main!$D$10&gt;0),(K9&lt;&gt;"")),((Main!$D$10/Main!$B$11)*j_diff(Main!$D$11,F10)*Main!$B$7)/365,"")</f>
        <v/>
      </c>
      <c r="O9" s="90" t="str">
        <f>IF(AND((Main!$D$12&gt;0),(K9&lt;&gt;"")),((Main!$D$12/Main!$B$11)*j_diff(Main!$D$13,F10)*Main!$B$7)/365,"")</f>
        <v/>
      </c>
      <c r="P9" s="90" t="str">
        <f>IF(AND((Main!$D$14&gt;0),(K9&lt;&gt;"")),((Main!$D$14/Main!$B$11)*j_diff(Main!$D$15,F10)*Main!$B$7)/365,"")</f>
        <v/>
      </c>
    </row>
    <row r="10" spans="1:16" ht="21">
      <c r="A10" s="9" t="s">
        <v>22</v>
      </c>
      <c r="B10" s="13">
        <v>6</v>
      </c>
      <c r="C10" s="9" t="s">
        <v>32</v>
      </c>
      <c r="D10" s="14">
        <v>400000000</v>
      </c>
      <c r="E10" s="91" t="str">
        <f>IF(E9&lt;&gt;"",IF(Main!$B$11-E9&gt;=1,E9+1,""),"")</f>
        <v/>
      </c>
      <c r="F10" s="84" t="str">
        <f>IF(F9&lt;&gt;"",IF(E10&lt;&gt;"",AddMonth(F9,(Main!$B$12/Main!$B$11)),""),"")</f>
        <v/>
      </c>
      <c r="G10" s="94" t="b">
        <f>IF(E10&lt;&gt;"",(Main!$D$6/Main!$B$11)+IF(Main!$D$8&gt;0,(Main!$D$8/Main!$B$11)+IF(Main!$D$10&gt;0,(Main!$D$10/Main!$B$11)+IF(Main!$D$12&gt;0,(Main!$D$12/Main!$B$11)+IF(Main!$D$14&gt;0,(Main!$D$14/Main!$B$11))))))</f>
        <v>0</v>
      </c>
      <c r="H10" s="98">
        <f>IF(E9&lt;&gt;"",J3,"")</f>
        <v>117252968.03652966</v>
      </c>
      <c r="I10" s="96" t="str">
        <f t="shared" si="0"/>
        <v/>
      </c>
      <c r="J10" s="97"/>
      <c r="K10" s="91" t="str">
        <f>IF(K9&lt;&gt;"",IF(Main!$B$11-K9&gt;=1,K9+1,""),"")</f>
        <v/>
      </c>
      <c r="L10" s="90" t="str">
        <f>IF(AND((Main!$D$6&gt;0),(K10&lt;&gt;"")),((Main!$D$6/Main!$B$11)*j_diff(Main!$D$7,F11)*Main!$B$7)/365,"")</f>
        <v/>
      </c>
      <c r="M10" s="90" t="str">
        <f>IF(AND((Main!$D$8&gt;0),(K10&lt;&gt;"")),((Main!$D$8/Main!$B$11)*j_diff(Main!$D$9,F11)*Main!$B$7)/365,"")</f>
        <v/>
      </c>
      <c r="N10" s="90" t="str">
        <f>IF(AND((Main!$D$10&gt;0),(K10&lt;&gt;"")),((Main!$D$10/Main!$B$11)*j_diff(Main!$D$11,F11)*Main!$B$7)/365,"")</f>
        <v/>
      </c>
      <c r="O10" s="90" t="str">
        <f>IF(AND((Main!$D$12&gt;0),(K10&lt;&gt;"")),((Main!$D$12/Main!$B$11)*j_diff(Main!$D$13,F11)*Main!$B$7)/365,"")</f>
        <v/>
      </c>
      <c r="P10" s="90" t="str">
        <f>IF(AND((Main!$D$14&gt;0),(K10&lt;&gt;"")),((Main!$D$14/Main!$B$11)*j_diff(Main!$D$15,F11)*Main!$B$7)/365,"")</f>
        <v/>
      </c>
    </row>
    <row r="11" spans="1:16" ht="21">
      <c r="A11" s="11" t="s">
        <v>26</v>
      </c>
      <c r="B11" s="13">
        <v>6</v>
      </c>
      <c r="C11" s="9" t="s">
        <v>33</v>
      </c>
      <c r="D11" s="15" t="s">
        <v>56</v>
      </c>
      <c r="E11" s="91" t="str">
        <f>IF(E10&lt;&gt;"",IF(Main!$B$11-E10&gt;=1,E10+1,""),"")</f>
        <v/>
      </c>
      <c r="F11" s="84" t="str">
        <f>IF(F10&lt;&gt;"",IF(E11&lt;&gt;"",AddMonth(F10,(Main!$B$12/Main!$B$11)),""),"")</f>
        <v/>
      </c>
      <c r="G11" s="94" t="b">
        <f>IF(E11&lt;&gt;"",(Main!$D$6/Main!$B$11)+IF(Main!$D$8&gt;0,(Main!$D$8/Main!$B$11)+IF(Main!$D$10&gt;0,(Main!$D$10/Main!$B$11)+IF(Main!$D$12&gt;0,(Main!$D$12/Main!$B$11)+IF(Main!$D$14&gt;0,(Main!$D$14/Main!$B$11))))))</f>
        <v>0</v>
      </c>
      <c r="H11" s="98">
        <f>IF(E9&lt;&gt;"",J3,"")</f>
        <v>117252968.03652966</v>
      </c>
      <c r="I11" s="96" t="str">
        <f t="shared" si="0"/>
        <v/>
      </c>
      <c r="J11" s="97"/>
      <c r="K11" s="91" t="str">
        <f>IF(K10&lt;&gt;"",IF(Main!$B$11-K10&gt;=1,K10+1,""),"")</f>
        <v/>
      </c>
      <c r="L11" s="90" t="str">
        <f>IF(AND((Main!$D$6&gt;0),(K11&lt;&gt;"")),((Main!$D$6/Main!$B$11)*j_diff(Main!$D$7,F12)*Main!$B$7)/365,"")</f>
        <v/>
      </c>
      <c r="M11" s="90" t="str">
        <f>IF(AND((Main!$D$8&gt;0),(K11&lt;&gt;"")),((Main!$D$8/Main!$B$11)*j_diff(Main!$D$9,F12)*Main!$B$7)/365,"")</f>
        <v/>
      </c>
      <c r="N11" s="90" t="str">
        <f>IF(AND((Main!$D$10&gt;0),(K11&lt;&gt;"")),((Main!$D$10/Main!$B$11)*j_diff(Main!$D$11,F12)*Main!$B$7)/365,"")</f>
        <v/>
      </c>
      <c r="O11" s="90" t="str">
        <f>IF(AND((Main!$D$12&gt;0),(K11&lt;&gt;"")),((Main!$D$12/Main!$B$11)*j_diff(Main!$D$13,F12)*Main!$B$7)/365,"")</f>
        <v/>
      </c>
      <c r="P11" s="90" t="str">
        <f>IF(AND((Main!$D$14&gt;0),(K11&lt;&gt;"")),((Main!$D$14/Main!$B$11)*j_diff(Main!$D$15,F12)*Main!$B$7)/365,"")</f>
        <v/>
      </c>
    </row>
    <row r="12" spans="1:16" ht="21">
      <c r="A12" s="9" t="s">
        <v>27</v>
      </c>
      <c r="B12" s="12">
        <v>18</v>
      </c>
      <c r="C12" s="11" t="s">
        <v>34</v>
      </c>
      <c r="D12" s="13"/>
      <c r="E12" s="91" t="str">
        <f>IF(E11&lt;&gt;"",IF(Main!$B$11-E11&gt;=1,E11+1,""),"")</f>
        <v/>
      </c>
      <c r="F12" s="84" t="str">
        <f>IF(F11&lt;&gt;"",IF(E12&lt;&gt;"",AddMonth(F11,(Main!$B$12/Main!$B$11)),""),"")</f>
        <v/>
      </c>
      <c r="G12" s="94" t="str">
        <f>IF(E12&lt;&gt;"",(Main!$D$6/Main!$B$11)+IF(Main!$D$8&gt;0,(Main!$D$8/Main!$B$11)+IF(Main!$D$10&gt;0,(Main!$D$10/Main!$B$11)+IF(Main!$D$12&gt;0,(Main!$D$12/Main!$B$11)+IF(Main!$D$14&gt;0,(Main!$D$14/Main!$B$11))))),"")</f>
        <v/>
      </c>
      <c r="H12" s="98">
        <f>IF(E9&lt;&gt;"",J3,"")</f>
        <v>117252968.03652966</v>
      </c>
      <c r="I12" s="96" t="str">
        <f t="shared" si="0"/>
        <v/>
      </c>
      <c r="J12" s="97"/>
      <c r="K12" s="91" t="str">
        <f>IF(K11&lt;&gt;"",IF(Main!$B$11-K11&gt;=1,K11+1,""),"")</f>
        <v/>
      </c>
      <c r="L12" s="90" t="str">
        <f>IF(AND((Main!$D$6&gt;0),(K12&lt;&gt;"")),((Main!$D$6/Main!$B$11)*j_diff(Main!$D$7,F13)*Main!$B$7)/365,"")</f>
        <v/>
      </c>
      <c r="M12" s="90" t="str">
        <f>IF(AND((Main!$D$8&gt;0),(K12&lt;&gt;"")),((Main!$D$8/Main!$B$11)*j_diff(Main!$D$9,F13)*Main!$B$7)/365,"")</f>
        <v/>
      </c>
      <c r="N12" s="90" t="str">
        <f>IF(AND((Main!$D$10&gt;0),(K12&lt;&gt;"")),((Main!$D$10/Main!$B$11)*j_diff(Main!$D$11,F13)*Main!$B$7)/365,"")</f>
        <v/>
      </c>
      <c r="O12" s="90" t="str">
        <f>IF(AND((Main!$D$12&gt;0),(K12&lt;&gt;"")),((Main!$D$12/Main!$B$11)*j_diff(Main!$D$13,F13)*Main!$B$7)/365,"")</f>
        <v/>
      </c>
      <c r="P12" s="90" t="str">
        <f>IF(AND((Main!$D$14&gt;0),(K12&lt;&gt;"")),((Main!$D$14/Main!$B$11)*j_diff(Main!$D$15,F13)*Main!$B$7)/365,"")</f>
        <v/>
      </c>
    </row>
    <row r="13" spans="1:16" ht="21">
      <c r="A13" s="120" t="s">
        <v>21</v>
      </c>
      <c r="B13" s="121"/>
      <c r="C13" s="30" t="s">
        <v>35</v>
      </c>
      <c r="D13" s="29"/>
      <c r="E13" s="91" t="str">
        <f>IF(E12&lt;&gt;"",IF(Main!$B$11-E12&gt;=1,E12+1,""),"")</f>
        <v/>
      </c>
      <c r="F13" s="84" t="str">
        <f>IF(F12&lt;&gt;"",IF(E13&lt;&gt;"",AddMonth(F12,(Main!$B$12/Main!$B$11)),""),"")</f>
        <v/>
      </c>
      <c r="G13" s="94" t="b">
        <f>IF(E13&lt;&gt;"",(Main!$D$6/Main!$B$11)+IF(Main!$D$8&gt;0,(Main!$D$8/Main!$B$11)+IF(Main!$D$10&gt;0,(Main!$D$10/Main!$B$11)+IF(Main!$D$12&gt;0,(Main!$D$12/Main!$B$11)+IF(Main!$D$14&gt;0,(Main!$D$14/Main!$B$11))),"")))</f>
        <v>0</v>
      </c>
      <c r="H13" s="98">
        <f>IF(E9&lt;&gt;"",J3,"")</f>
        <v>117252968.03652966</v>
      </c>
      <c r="I13" s="96" t="str">
        <f t="shared" si="0"/>
        <v/>
      </c>
      <c r="J13" s="97"/>
      <c r="K13" s="91" t="str">
        <f>IF(K12&lt;&gt;"",IF(Main!$B$11-K12&gt;=1,K12+1,""),"")</f>
        <v/>
      </c>
      <c r="L13" s="90" t="str">
        <f>IF(AND((Main!$D$6&gt;0),(K13&lt;&gt;"")),((Main!$D$6/Main!$B$11)*j_diff(Main!$D$7,F14)*Main!$B$7)/365,"")</f>
        <v/>
      </c>
      <c r="M13" s="90" t="str">
        <f>IF(AND((Main!$D$8&gt;0),(K13&lt;&gt;"")),((Main!$D$8/Main!$B$11)*j_diff(Main!$D$9,F14)*Main!$B$7)/365,"")</f>
        <v/>
      </c>
      <c r="N13" s="90" t="str">
        <f>IF(AND((Main!$D$10&gt;0),(K13&lt;&gt;"")),((Main!$D$10/Main!$B$11)*j_diff(Main!$D$11,F14)*Main!$B$7)/365,"")</f>
        <v/>
      </c>
      <c r="O13" s="90" t="str">
        <f>IF(AND((Main!$D$12&gt;0),(K13&lt;&gt;"")),((Main!$D$12/Main!$B$11)*j_diff(Main!$D$13,F14)*Main!$B$7)/365,"")</f>
        <v/>
      </c>
      <c r="P13" s="90" t="str">
        <f>IF(AND((Main!$D$14&gt;0),(K13&lt;&gt;"")),((Main!$D$14/Main!$B$11)*j_diff(Main!$D$15,F14)*Main!$B$7)/365,"")</f>
        <v/>
      </c>
    </row>
    <row r="14" spans="1:16" ht="21">
      <c r="A14" s="124"/>
      <c r="B14" s="125"/>
      <c r="C14" s="10" t="s">
        <v>36</v>
      </c>
      <c r="D14" s="13"/>
      <c r="E14" s="91" t="str">
        <f>IF(E13&lt;&gt;"",IF(Main!$B$11-E13&gt;=1,E13+1,""),"")</f>
        <v/>
      </c>
      <c r="F14" s="84" t="str">
        <f>IF(F13&lt;&gt;"",IF(E14&lt;&gt;"",AddMonth(F13,(Main!$B$12/Main!$B$11)),""),"")</f>
        <v/>
      </c>
      <c r="G14" s="94" t="b">
        <f>IF(E14&lt;&gt;"",(Main!$D$6/Main!$B$11)+IF(Main!$D$8&gt;0,(Main!$D$8/Main!$B$11)+IF(Main!$D$10&gt;0,(Main!$D$10/Main!$B$11)+IF(Main!$D$12&gt;0,(Main!$D$12/Main!$B$11)+IF(Main!$D$14&gt;0,(Main!$D$14/Main!$B$11)))*IFERROR(0,""))))</f>
        <v>0</v>
      </c>
      <c r="H14" s="98">
        <f>IF(E9&lt;&gt;"",J3,"")</f>
        <v>117252968.03652966</v>
      </c>
      <c r="I14" s="96" t="str">
        <f t="shared" si="0"/>
        <v/>
      </c>
      <c r="J14" s="97"/>
      <c r="K14" s="91" t="str">
        <f>IF(K13&lt;&gt;"",IF(Main!$B$11-K13&gt;=1,K13+1,""),"")</f>
        <v/>
      </c>
      <c r="L14" s="90" t="str">
        <f>IF(AND((Main!$D$6&gt;0),(K14&lt;&gt;"")),((Main!$D$6/Main!$B$11)*j_diff(Main!$D$7,F15)*Main!$B$7)/365,"")</f>
        <v/>
      </c>
      <c r="M14" s="90" t="str">
        <f>IF(AND((Main!$D$8&gt;0),(K14&lt;&gt;"")),((Main!$D$8/Main!$B$11)*j_diff(Main!$D$9,F15)*Main!$B$7)/365,"")</f>
        <v/>
      </c>
      <c r="N14" s="90" t="str">
        <f>IF(AND((Main!$D$10&gt;0),(K14&lt;&gt;"")),((Main!$D$10/Main!$B$11)*j_diff(Main!$D$11,F15)*Main!$B$7)/365,"")</f>
        <v/>
      </c>
      <c r="O14" s="90" t="str">
        <f>IF(AND((Main!$D$12&gt;0),(K14&lt;&gt;"")),((Main!$D$12/Main!$B$11)*j_diff(Main!$D$13,F15)*Main!$B$7)/365,"")</f>
        <v/>
      </c>
      <c r="P14" s="90" t="str">
        <f>IF(AND((Main!$D$14&gt;0),(K14&lt;&gt;"")),((Main!$D$14/Main!$B$11)*j_diff(Main!$D$15,F15)*Main!$B$7)/365,"")</f>
        <v/>
      </c>
    </row>
    <row r="15" spans="1:16" ht="21">
      <c r="A15" s="46"/>
      <c r="B15" s="47"/>
      <c r="C15" s="11" t="s">
        <v>37</v>
      </c>
      <c r="D15" s="29"/>
      <c r="E15" s="91" t="str">
        <f>IF(E14&lt;&gt;"",IF(Main!$B$11-E14&gt;=1,E14+1,""),"")</f>
        <v/>
      </c>
      <c r="F15" s="84" t="str">
        <f>IF(F14&lt;&gt;"",IF(E15&lt;&gt;"",AddMonth(F14,(Main!$B$12/Main!$B$11)),""),"")</f>
        <v/>
      </c>
      <c r="G15" s="94">
        <f>IF(E15&lt;&gt;"",(Main!$D$6/Main!$B$11)+IF(Main!$D$8&gt;0,(Main!$D$8/Main!$B$11)+IF(Main!$D$10&gt;0,(Main!$D$10/Main!$B$11)+IF(Main!$D$12&gt;0,(Main!$D$12/Main!$B$11)+IF(Main!$D$14&gt;0,(Main!$D$14/Main!$B$11))),IFERROR(0,""))),IFERROR(0,""))</f>
        <v>0</v>
      </c>
      <c r="H15" s="98">
        <f>IF(E9&lt;&gt;"",J3,"")</f>
        <v>117252968.03652966</v>
      </c>
      <c r="I15" s="96" t="str">
        <f t="shared" si="0"/>
        <v/>
      </c>
      <c r="J15" s="97"/>
      <c r="K15" s="91" t="str">
        <f>IF(K14&lt;&gt;"",IF(Main!$B$11-K14&gt;=1,K14+1,""),"")</f>
        <v/>
      </c>
      <c r="L15" s="90" t="str">
        <f>IF(AND((Main!$D$6&gt;0),(K15&lt;&gt;"")),((Main!$D$6/Main!$B$11)*j_diff(Main!$D$7,F16)*Main!$B$7)/365,"")</f>
        <v/>
      </c>
      <c r="M15" s="90" t="str">
        <f>IF(AND((Main!$D$8&gt;0),(K15&lt;&gt;"")),((Main!$D$8/Main!$B$11)*j_diff(Main!$D$9,F16)*Main!$B$7)/365,"")</f>
        <v/>
      </c>
      <c r="N15" s="90" t="str">
        <f>IF(AND((Main!$D$10&gt;0),(K15&lt;&gt;"")),((Main!$D$10/Main!$B$11)*j_diff(Main!$D$11,F16)*Main!$B$7)/365,"")</f>
        <v/>
      </c>
      <c r="O15" s="90" t="str">
        <f>IF(AND((Main!$D$12&gt;0),(K15&lt;&gt;"")),((Main!$D$12/Main!$B$11)*j_diff(Main!$D$13,F16)*Main!$B$7)/365,"")</f>
        <v/>
      </c>
      <c r="P15" s="90" t="str">
        <f>IF(AND((Main!$D$14&gt;0),(K15&lt;&gt;"")),((Main!$D$14/Main!$B$11)*j_diff(Main!$D$15,F16)*Main!$B$7)/365,"")</f>
        <v/>
      </c>
    </row>
    <row r="16" spans="1:16" ht="21.75" thickBot="1">
      <c r="A16" s="48"/>
      <c r="B16" s="49"/>
      <c r="C16" s="50" t="s">
        <v>45</v>
      </c>
      <c r="D16" s="51">
        <f>SUM(D6,D8,D10,D12,D14)</f>
        <v>3800000000</v>
      </c>
      <c r="E16" s="91" t="str">
        <f>IF(E15&lt;&gt;"",IF(Main!$B$11-E15&gt;=1,E15+1,""),"")</f>
        <v/>
      </c>
      <c r="F16" s="84" t="str">
        <f>IF(F15&lt;&gt;"",IF(E16&lt;&gt;"",AddMonth(F15,(Main!$B$12/Main!$B$11)),""),"")</f>
        <v/>
      </c>
      <c r="G16" s="94" t="str">
        <f>IF(E16&lt;&gt;"",(Main!$D$6/Main!$B$11)+IF(Main!$D$8&gt;0,(Main!$D$8/Main!$B$11)+IF(Main!$D$10&gt;0,(Main!$D$10/Main!$B$11)+IF(Main!$D$12&gt;0,(Main!$D$12/Main!$B$11)+IF(Main!$D$14&gt;0,(Main!$D$14/Main!$B$11))))),"")</f>
        <v/>
      </c>
      <c r="H16" s="98" t="str">
        <f t="shared" ref="H16:H27" si="1">IF(E16&lt;&gt;"",$F$3,"")</f>
        <v/>
      </c>
      <c r="I16" s="96" t="str">
        <f t="shared" si="0"/>
        <v/>
      </c>
      <c r="J16" s="97">
        <f>IFERROR(0,"")</f>
        <v>0</v>
      </c>
      <c r="K16" s="91" t="str">
        <f>IF(K15&lt;&gt;"",IF(Main!$B$11-K15&gt;=1,K15+1,""),"")</f>
        <v/>
      </c>
      <c r="L16" s="90" t="str">
        <f>IF(AND((Main!$D$6&gt;0),(K16&lt;&gt;"")),((Main!$D$6/Main!$B$11)*j_diff(Main!$D$7,F17)*Main!$B$7)/365,"")</f>
        <v/>
      </c>
      <c r="M16" s="90" t="str">
        <f>IF(AND((Main!$D$8&gt;0),(K16&lt;&gt;"")),((Main!$D$8/Main!$B$11)*j_diff(Main!$D$9,F17)*Main!$B$7)/365,"")</f>
        <v/>
      </c>
      <c r="N16" s="90" t="str">
        <f>IF(AND((Main!$D$10&gt;0),(K16&lt;&gt;"")),((Main!$D$10/Main!$B$11)*j_diff(Main!$D$11,F17)*Main!$B$7)/365,"")</f>
        <v/>
      </c>
      <c r="O16" s="90" t="str">
        <f>IF(AND((Main!$D$12&gt;0),(K16&lt;&gt;"")),((Main!$D$12/Main!$B$11)*j_diff(Main!$D$13,F17)*Main!$B$7)/365,"")</f>
        <v/>
      </c>
      <c r="P16" s="90" t="str">
        <f>IF(AND((Main!$D$14&gt;0),(K16&lt;&gt;"")),((Main!$D$14/Main!$B$11)*j_diff(Main!$D$15,F17)*Main!$B$7)/365,"")</f>
        <v/>
      </c>
    </row>
    <row r="17" spans="1:16" ht="21">
      <c r="A17" s="80"/>
      <c r="B17" s="80"/>
      <c r="C17" s="80"/>
      <c r="D17" s="82" t="str">
        <f>IF(AND((B6&lt;&gt;""),(SUM(D6,D8,D10,D12,D14)&lt;=B6)),"","جمع پرداخت ها بیش از مبلغ تسهیلات می باشد")</f>
        <v/>
      </c>
      <c r="E17" s="91" t="str">
        <f>IF(E16&lt;&gt;"",IF(Main!$B$11-E16&gt;=1,E16+1,""),"")</f>
        <v/>
      </c>
      <c r="F17" s="84" t="str">
        <f>IF(F16&lt;&gt;"",IF(E17&lt;&gt;"",AddMonth(F16,(Main!$B$12/Main!$B$11)),""),"")</f>
        <v/>
      </c>
      <c r="G17" s="94" t="b">
        <f>IF(E17&lt;&gt;"",(Main!$D$6/Main!$B$11)+IF(Main!$D$8&gt;0,(Main!$D$8/Main!$B$11)+IF(Main!$D$10&gt;0,(Main!$D$10/Main!$B$11)+IF(Main!$D$12&gt;0,(Main!$D$12/Main!$B$11)+IF(Main!$D$14&gt;0,(Main!$D$14/Main!$B$11))))))</f>
        <v>0</v>
      </c>
      <c r="H17" s="98" t="str">
        <f t="shared" si="1"/>
        <v/>
      </c>
      <c r="I17" s="96" t="str">
        <f t="shared" si="0"/>
        <v/>
      </c>
      <c r="J17" s="80"/>
      <c r="K17" s="91" t="str">
        <f>IF(K16&lt;&gt;"",IF(Main!$B$11-K16&gt;=1,K16+1,""),"")</f>
        <v/>
      </c>
      <c r="L17" s="90" t="str">
        <f>IF(AND((Main!$D$6&gt;0),(K17&lt;&gt;"")),((Main!$D$6/Main!$B$11)*j_diff(Main!$D$7,F18)*Main!$B$7)/365,"")</f>
        <v/>
      </c>
      <c r="M17" s="90" t="str">
        <f>IF(AND((Main!$D$8&gt;0),(K17&lt;&gt;"")),((Main!$D$8/Main!$B$11)*j_diff(Main!$D$9,F18)*Main!$B$7)/365,"")</f>
        <v/>
      </c>
      <c r="N17" s="90" t="str">
        <f>IF(AND((Main!$D$10&gt;0),(K17&lt;&gt;"")),((Main!$D$10/Main!$B$11)*j_diff(Main!$D$11,F18)*Main!$B$7)/365,"")</f>
        <v/>
      </c>
      <c r="O17" s="90" t="str">
        <f>IF(AND((Main!$D$12&gt;0),(K17&lt;&gt;"")),((Main!$D$12/Main!$B$11)*j_diff(Main!$D$13,F18)*Main!$B$7)/365,"")</f>
        <v/>
      </c>
      <c r="P17" s="90" t="str">
        <f>IF(AND((Main!$D$14&gt;0),(K17&lt;&gt;"")),((Main!$D$14/Main!$B$11)*j_diff(Main!$D$15,F18)*Main!$B$7)/365,"")</f>
        <v/>
      </c>
    </row>
    <row r="18" spans="1:16" ht="37.5" customHeight="1">
      <c r="A18" s="122" t="s">
        <v>46</v>
      </c>
      <c r="B18" s="123"/>
      <c r="C18" s="123"/>
      <c r="D18" s="83"/>
      <c r="E18" s="91" t="str">
        <f>IF(E17&lt;&gt;"",IF(Main!$B$11-E17&gt;=1,E17+1,""),"")</f>
        <v/>
      </c>
      <c r="F18" s="84" t="str">
        <f>IF(F17&lt;&gt;"",IF(E18&lt;&gt;"",AddMonth(F17,(Main!$B$12/Main!$B$11)),""),"")</f>
        <v/>
      </c>
      <c r="G18" s="94" t="b">
        <f>IF(E18&lt;&gt;"",(Main!$D$6/Main!$B$11)+IF(Main!$D$8&gt;0,(Main!$D$8/Main!$B$11)+IF(Main!$D$10&gt;0,(Main!$D$10/Main!$B$11)+IF(Main!$D$12&gt;0,(Main!$D$12/Main!$B$11)+IF(Main!$D$14&gt;0,(Main!$D$14/Main!$B$11))))))</f>
        <v>0</v>
      </c>
      <c r="H18" s="98" t="str">
        <f t="shared" si="1"/>
        <v/>
      </c>
      <c r="I18" s="96" t="str">
        <f t="shared" si="0"/>
        <v/>
      </c>
      <c r="J18" s="80"/>
      <c r="K18" s="91" t="str">
        <f>IF(K17&lt;&gt;"",IF(Main!$B$11-K17&gt;=1,K17+1,""),"")</f>
        <v/>
      </c>
      <c r="L18" s="90" t="str">
        <f>IF(AND((Main!$D$6&gt;0),(K18&lt;&gt;"")),((Main!$D$6/Main!$B$11)*j_diff(Main!$D$7,F19)*Main!$B$7)/365,"")</f>
        <v/>
      </c>
      <c r="M18" s="90" t="str">
        <f>IF(AND((Main!$D$8&gt;0),(K18&lt;&gt;"")),((Main!$D$8/Main!$B$11)*j_diff(Main!$D$9,F19)*Main!$B$7)/365,"")</f>
        <v/>
      </c>
      <c r="N18" s="90" t="str">
        <f>IF(AND((Main!$D$10&gt;0),(K18&lt;&gt;"")),((Main!$D$10/Main!$B$11)*j_diff(Main!$D$11,F19)*Main!$B$7)/365,"")</f>
        <v/>
      </c>
      <c r="O18" s="90" t="str">
        <f>IF(AND((Main!$D$12&gt;0),(K18&lt;&gt;"")),((Main!$D$12/Main!$B$11)*j_diff(Main!$D$13,F19)*Main!$B$7)/365,"")</f>
        <v/>
      </c>
      <c r="P18" s="90" t="str">
        <f>IF(AND((Main!$D$14&gt;0),(K18&lt;&gt;"")),((Main!$D$14/Main!$B$11)*j_diff(Main!$D$15,F19)*Main!$B$7)/365,"")</f>
        <v/>
      </c>
    </row>
    <row r="19" spans="1:16" ht="21">
      <c r="A19" s="80"/>
      <c r="B19" s="80"/>
      <c r="C19" s="80"/>
      <c r="D19" s="80"/>
      <c r="E19" s="91" t="str">
        <f>IF(E18&lt;&gt;"",IF(Main!$B$11-E18&gt;=1,E18+1,""),"")</f>
        <v/>
      </c>
      <c r="F19" s="84" t="str">
        <f>IF(F18&lt;&gt;"",IF(E19&lt;&gt;"",AddMonth(F18,(Main!$B$12/Main!$B$11)),""),"")</f>
        <v/>
      </c>
      <c r="G19" s="94" t="b">
        <f>IF(E19&lt;&gt;"",(Main!$D$6/Main!$B$11)+IF(Main!$D$8&gt;0,(Main!$D$8/Main!$B$11)+IF(Main!$D$10&gt;0,(Main!$D$10/Main!$B$11)+IF(Main!$D$12&gt;0,(Main!$D$12/Main!$B$11)+IF(Main!$D$14&gt;0,(Main!$D$14/Main!$B$11))))))</f>
        <v>0</v>
      </c>
      <c r="H19" s="98" t="str">
        <f t="shared" si="1"/>
        <v/>
      </c>
      <c r="I19" s="96" t="str">
        <f t="shared" si="0"/>
        <v/>
      </c>
      <c r="J19" s="80"/>
      <c r="K19" s="91" t="str">
        <f>IF(K18&lt;&gt;"",IF(Main!$B$11-K18&gt;=1,K18+1,""),"")</f>
        <v/>
      </c>
      <c r="L19" s="90" t="str">
        <f>IF(AND((Main!$D$6&gt;0),(K19&lt;&gt;"")),((Main!$D$6/Main!$B$11)*j_diff(Main!$D$7,F20)*Main!$B$7)/365,"")</f>
        <v/>
      </c>
      <c r="M19" s="90" t="str">
        <f>IF(AND((Main!$D$8&gt;0),(K19&lt;&gt;"")),((Main!$D$8/Main!$B$11)*j_diff(Main!$D$9,F20)*Main!$B$7)/365,"")</f>
        <v/>
      </c>
      <c r="N19" s="90" t="str">
        <f>IF(AND((Main!$D$10&gt;0),(K19&lt;&gt;"")),((Main!$D$10/Main!$B$11)*j_diff(Main!$D$11,F20)*Main!$B$7)/365,"")</f>
        <v/>
      </c>
      <c r="O19" s="90" t="str">
        <f>IF(AND((Main!$D$12&gt;0),(K19&lt;&gt;"")),((Main!$D$12/Main!$B$11)*j_diff(Main!$D$13,F20)*Main!$B$7)/365,"")</f>
        <v/>
      </c>
      <c r="P19" s="90" t="str">
        <f>IF(AND((Main!$D$14&gt;0),(K19&lt;&gt;"")),((Main!$D$14/Main!$B$11)*j_diff(Main!$D$15,F20)*Main!$B$7)/365,"")</f>
        <v/>
      </c>
    </row>
    <row r="20" spans="1:16" ht="21">
      <c r="A20" s="80"/>
      <c r="B20" s="80"/>
      <c r="C20" s="80"/>
      <c r="D20" s="80"/>
      <c r="E20" s="91" t="str">
        <f>IF(E19&lt;&gt;"",IF(Main!$B$11-E19&gt;=1,E19+1,""),"")</f>
        <v/>
      </c>
      <c r="F20" s="84" t="str">
        <f>IF(F19&lt;&gt;"",IF(E20&lt;&gt;"",AddMonth(F19,(Main!$B$12/Main!$B$11)),""),"")</f>
        <v/>
      </c>
      <c r="G20" s="94" t="b">
        <f>IF(E20&lt;&gt;"",(Main!$D$6/Main!$B$11)+IF(Main!$D$8&gt;0,(Main!$D$8/Main!$B$11)+IF(Main!$D$10&gt;0,(Main!$D$10/Main!$B$11)+IF(Main!$D$12&gt;0,(Main!$D$12/Main!$B$11)+IF(Main!$D$14&gt;0,(Main!$D$14/Main!$B$11))))))</f>
        <v>0</v>
      </c>
      <c r="H20" s="98" t="str">
        <f t="shared" si="1"/>
        <v/>
      </c>
      <c r="I20" s="96" t="str">
        <f t="shared" si="0"/>
        <v/>
      </c>
      <c r="J20" s="80"/>
      <c r="K20" s="91" t="str">
        <f>IF(K19&lt;&gt;"",IF(Main!$B$11-K19&gt;=1,K19+1,""),"")</f>
        <v/>
      </c>
      <c r="L20" s="90" t="str">
        <f>IF(AND((Main!$D$6&gt;0),(K20&lt;&gt;"")),((Main!$D$6/Main!$B$11)*j_diff(Main!$D$7,F21)*Main!$B$7)/365,"")</f>
        <v/>
      </c>
      <c r="M20" s="90" t="str">
        <f>IF(AND((Main!$D$8&gt;0),(K20&lt;&gt;"")),((Main!$D$8/Main!$B$11)*j_diff(Main!$D$9,F21)*Main!$B$7)/365,"")</f>
        <v/>
      </c>
      <c r="N20" s="90" t="str">
        <f>IF(AND((Main!$D$10&gt;0),(K20&lt;&gt;"")),((Main!$D$10/Main!$B$11)*j_diff(Main!$D$11,F21)*Main!$B$7)/365,"")</f>
        <v/>
      </c>
      <c r="O20" s="90" t="str">
        <f>IF(AND((Main!$D$12&gt;0),(K20&lt;&gt;"")),((Main!$D$12/Main!$B$11)*j_diff(Main!$D$13,F21)*Main!$B$7)/365,"")</f>
        <v/>
      </c>
      <c r="P20" s="90" t="str">
        <f>IF(AND((Main!$D$14&gt;0),(K20&lt;&gt;"")),((Main!$D$14/Main!$B$11)*j_diff(Main!$D$15,F21)*Main!$B$7)/365,"")</f>
        <v/>
      </c>
    </row>
    <row r="21" spans="1:16" ht="21">
      <c r="A21" s="80"/>
      <c r="B21" s="80"/>
      <c r="C21" s="80"/>
      <c r="D21" s="80"/>
      <c r="E21" s="91" t="str">
        <f>IF(E20&lt;&gt;"",IF(Main!$B$11-E20&gt;=1,E20+1,""),"")</f>
        <v/>
      </c>
      <c r="F21" s="84" t="str">
        <f>IF(F20&lt;&gt;"",IF(E21&lt;&gt;"",AddMonth(F20,(Main!$B$12/Main!$B$11)),""),"")</f>
        <v/>
      </c>
      <c r="G21" s="94" t="b">
        <f>IF(E21&lt;&gt;"",(Main!$D$6/Main!$B$11)+IF(Main!$D$8&gt;0,(Main!$D$8/Main!$B$11)+IF(Main!$D$10&gt;0,(Main!$D$10/Main!$B$11)+IF(Main!$D$12&gt;0,(Main!$D$12/Main!$B$11)+IF(Main!$D$14&gt;0,(Main!$D$14/Main!$B$11))))))</f>
        <v>0</v>
      </c>
      <c r="H21" s="98" t="str">
        <f t="shared" si="1"/>
        <v/>
      </c>
      <c r="I21" s="96" t="str">
        <f t="shared" si="0"/>
        <v/>
      </c>
      <c r="J21" s="80"/>
      <c r="K21" s="91" t="str">
        <f>IF(K20&lt;&gt;"",IF(Main!$B$11-K20&gt;=1,K20+1,""),"")</f>
        <v/>
      </c>
      <c r="L21" s="90" t="str">
        <f>IF(AND((Main!$D$6&gt;0),(K21&lt;&gt;"")),((Main!$D$6/Main!$B$11)*j_diff(Main!$D$7,F22)*Main!$B$7)/365,"")</f>
        <v/>
      </c>
      <c r="M21" s="90" t="str">
        <f>IF(AND((Main!$D$8&gt;0),(K21&lt;&gt;"")),((Main!$D$8/Main!$B$11)*j_diff(Main!$D$9,F22)*Main!$B$7)/365,"")</f>
        <v/>
      </c>
      <c r="N21" s="90" t="str">
        <f>IF(AND((Main!$D$10&gt;0),(K21&lt;&gt;"")),((Main!$D$10/Main!$B$11)*j_diff(Main!$D$11,F22)*Main!$B$7)/365,"")</f>
        <v/>
      </c>
      <c r="O21" s="90" t="str">
        <f>IF(AND((Main!$D$12&gt;0),(K21&lt;&gt;"")),((Main!$D$12/Main!$B$11)*j_diff(Main!$D$13,F22)*Main!$B$7)/365,"")</f>
        <v/>
      </c>
      <c r="P21" s="90" t="str">
        <f>IF(AND((Main!$D$14&gt;0),(K21&lt;&gt;"")),((Main!$D$14/Main!$B$11)*j_diff(Main!$D$15,F22)*Main!$B$7)/365,"")</f>
        <v/>
      </c>
    </row>
    <row r="22" spans="1:16" ht="21">
      <c r="A22" s="80"/>
      <c r="B22" s="80"/>
      <c r="C22" s="80"/>
      <c r="D22" s="80"/>
      <c r="E22" s="91" t="str">
        <f>IF(E21&lt;&gt;"",IF(Main!$B$11-E21&gt;=1,E21+1,""),"")</f>
        <v/>
      </c>
      <c r="F22" s="84" t="str">
        <f>IF(F21&lt;&gt;"",IF(E22&lt;&gt;"",AddMonth(F21,(Main!$B$12/Main!$B$11)),""),"")</f>
        <v/>
      </c>
      <c r="G22" s="94" t="b">
        <f>IF(E22&lt;&gt;"",(Main!$D$6/Main!$B$11)+IF(Main!$D$8&gt;0,(Main!$D$8/Main!$B$11)+IF(Main!$D$10&gt;0,(Main!$D$10/Main!$B$11)+IF(Main!$D$12&gt;0,(Main!$D$12/Main!$B$11)+IF(Main!$D$14&gt;0,(Main!$D$14/Main!$B$11))))))</f>
        <v>0</v>
      </c>
      <c r="H22" s="98" t="str">
        <f t="shared" si="1"/>
        <v/>
      </c>
      <c r="I22" s="96" t="str">
        <f t="shared" si="0"/>
        <v/>
      </c>
      <c r="J22" s="80"/>
      <c r="K22" s="91" t="str">
        <f>IF(K21&lt;&gt;"",IF(Main!$B$11-K21&gt;=1,K21+1,""),"")</f>
        <v/>
      </c>
      <c r="L22" s="90" t="str">
        <f>IF(AND((Main!$D$6&gt;0),(K22&lt;&gt;"")),((Main!$D$6/Main!$B$11)*j_diff(Main!$D$7,F23)*Main!$B$7)/365,"")</f>
        <v/>
      </c>
      <c r="M22" s="90" t="str">
        <f>IF(AND((Main!$D$8&gt;0),(K22&lt;&gt;"")),((Main!$D$8/Main!$B$11)*j_diff(Main!$D$9,F23)*Main!$B$7)/365,"")</f>
        <v/>
      </c>
      <c r="N22" s="90" t="str">
        <f>IF(AND((Main!$D$10&gt;0),(K22&lt;&gt;"")),((Main!$D$10/Main!$B$11)*j_diff(Main!$D$11,F23)*Main!$B$7)/365,"")</f>
        <v/>
      </c>
      <c r="O22" s="90" t="str">
        <f>IF(AND((Main!$D$12&gt;0),(K22&lt;&gt;"")),((Main!$D$12/Main!$B$11)*j_diff(Main!$D$13,F23)*Main!$B$7)/365,"")</f>
        <v/>
      </c>
      <c r="P22" s="90" t="str">
        <f>IF(AND((Main!$D$14&gt;0),(K22&lt;&gt;"")),((Main!$D$14/Main!$B$11)*j_diff(Main!$D$15,F23)*Main!$B$7)/365,"")</f>
        <v/>
      </c>
    </row>
    <row r="23" spans="1:16" ht="21">
      <c r="A23" s="80"/>
      <c r="B23" s="80"/>
      <c r="C23" s="80"/>
      <c r="D23" s="80"/>
      <c r="E23" s="91" t="str">
        <f>IF(E22&lt;&gt;"",IF(Main!$B$11-E22&gt;=1,E22+1,""),"")</f>
        <v/>
      </c>
      <c r="F23" s="84" t="str">
        <f>IF(F22&lt;&gt;"",IF(E23&lt;&gt;"",AddMonth(F22,(Main!$B$12/Main!$B$11)),""),"")</f>
        <v/>
      </c>
      <c r="G23" s="94" t="b">
        <f>IF(E23&lt;&gt;"",(Main!$D$6/Main!$B$11)+IF(Main!$D$8&gt;0,(Main!$D$8/Main!$B$11)+IF(Main!$D$10&gt;0,(Main!$D$10/Main!$B$11)+IF(Main!$D$12&gt;0,(Main!$D$12/Main!$B$11)+IF(Main!$D$14&gt;0,(Main!$D$14/Main!$B$11))))))</f>
        <v>0</v>
      </c>
      <c r="H23" s="98" t="str">
        <f t="shared" si="1"/>
        <v/>
      </c>
      <c r="I23" s="96" t="str">
        <f t="shared" si="0"/>
        <v/>
      </c>
      <c r="J23" s="80"/>
      <c r="K23" s="91" t="str">
        <f>IF(K22&lt;&gt;"",IF(Main!$B$11-K22&gt;=1,K22+1,""),"")</f>
        <v/>
      </c>
      <c r="L23" s="90" t="str">
        <f>IF(AND((Main!$D$6&gt;0),(K23&lt;&gt;"")),((Main!$D$6/Main!$B$11)*j_diff(Main!$D$7,F24)*Main!$B$7)/365,"")</f>
        <v/>
      </c>
      <c r="M23" s="90" t="str">
        <f>IF(AND((Main!$D$8&gt;0),(K23&lt;&gt;"")),((Main!$D$8/Main!$B$11)*j_diff(Main!$D$9,F24)*Main!$B$7)/365,"")</f>
        <v/>
      </c>
      <c r="N23" s="90" t="str">
        <f>IF(AND((Main!$D$10&gt;0),(K23&lt;&gt;"")),((Main!$D$10/Main!$B$11)*j_diff(Main!$D$11,F24)*Main!$B$7)/365,"")</f>
        <v/>
      </c>
      <c r="O23" s="90" t="str">
        <f>IF(AND((Main!$D$12&gt;0),(K23&lt;&gt;"")),((Main!$D$12/Main!$B$11)*j_diff(Main!$D$13,F24)*Main!$B$7)/365,"")</f>
        <v/>
      </c>
      <c r="P23" s="90" t="str">
        <f>IF(AND((Main!$D$14&gt;0),(K23&lt;&gt;"")),((Main!$D$14/Main!$B$11)*j_diff(Main!$D$15,F24)*Main!$B$7)/365,"")</f>
        <v/>
      </c>
    </row>
    <row r="24" spans="1:16" ht="21">
      <c r="A24" s="80"/>
      <c r="B24" s="80"/>
      <c r="C24" s="80"/>
      <c r="D24" s="80"/>
      <c r="E24" s="91" t="str">
        <f>IF(E23&lt;&gt;"",IF(Main!$B$11-E23&gt;=1,E23+1,""),"")</f>
        <v/>
      </c>
      <c r="F24" s="84" t="str">
        <f>IF(F23&lt;&gt;"",IF(E24&lt;&gt;"",AddMonth(F23,(Main!$B$12/Main!$B$11)),""),"")</f>
        <v/>
      </c>
      <c r="G24" s="94" t="b">
        <f>IF(E24&lt;&gt;"",(Main!$D$6/Main!$B$11)+IF(Main!$D$8&gt;0,(Main!$D$8/Main!$B$11)+IF(Main!$D$10&gt;0,(Main!$D$10/Main!$B$11)+IF(Main!$D$12&gt;0,(Main!$D$12/Main!$B$11)+IF(Main!$D$14&gt;0,(Main!$D$14/Main!$B$11))))))</f>
        <v>0</v>
      </c>
      <c r="H24" s="98" t="str">
        <f t="shared" si="1"/>
        <v/>
      </c>
      <c r="I24" s="96" t="str">
        <f t="shared" si="0"/>
        <v/>
      </c>
      <c r="J24" s="80"/>
      <c r="K24" s="91" t="str">
        <f>IF(K23&lt;&gt;"",IF(Main!$B$11-K23&gt;=1,K23+1,""),"")</f>
        <v/>
      </c>
      <c r="L24" s="90" t="str">
        <f>IF(AND((Main!$D$6&gt;0),(K24&lt;&gt;"")),((Main!$D$6/Main!$B$11)*j_diff(Main!$D$7,F25)*Main!$B$7)/365,"")</f>
        <v/>
      </c>
      <c r="M24" s="90" t="str">
        <f>IF(AND((Main!$D$8&gt;0),(K24&lt;&gt;"")),((Main!$D$8/Main!$B$11)*j_diff(Main!$D$9,F25)*Main!$B$7)/365,"")</f>
        <v/>
      </c>
      <c r="N24" s="90" t="str">
        <f>IF(AND((Main!$D$10&gt;0),(K24&lt;&gt;"")),((Main!$D$10/Main!$B$11)*j_diff(Main!$D$11,F25)*Main!$B$7)/365,"")</f>
        <v/>
      </c>
      <c r="O24" s="90" t="str">
        <f>IF(AND((Main!$D$12&gt;0),(K24&lt;&gt;"")),((Main!$D$12/Main!$B$11)*j_diff(Main!$D$13,F25)*Main!$B$7)/365,"")</f>
        <v/>
      </c>
      <c r="P24" s="90" t="str">
        <f>IF(AND((Main!$D$14&gt;0),(K24&lt;&gt;"")),((Main!$D$14/Main!$B$11)*j_diff(Main!$D$15,F25)*Main!$B$7)/365,"")</f>
        <v/>
      </c>
    </row>
    <row r="25" spans="1:16" ht="21">
      <c r="A25" s="80"/>
      <c r="B25" s="80"/>
      <c r="C25" s="80"/>
      <c r="D25" s="80"/>
      <c r="E25" s="91" t="str">
        <f>IF(E24&lt;&gt;"",IF(Main!$B$11-E24&gt;=1,E24+1,""),"")</f>
        <v/>
      </c>
      <c r="F25" s="84" t="str">
        <f>IF(F24&lt;&gt;"",IF(E25&lt;&gt;"",AddMonth(F24,(Main!$B$12/Main!$B$11)),""),"")</f>
        <v/>
      </c>
      <c r="G25" s="94" t="b">
        <f>IF(E25&lt;&gt;"",(Main!$D$6/Main!$B$11)+IF(Main!$D$8&gt;0,(Main!$D$8/Main!$B$11)+IF(Main!$D$10&gt;0,(Main!$D$10/Main!$B$11)+IF(Main!$D$12&gt;0,(Main!$D$12/Main!$B$11)+IF(Main!$D$14&gt;0,(Main!$D$14/Main!$B$11))))))</f>
        <v>0</v>
      </c>
      <c r="H25" s="98" t="str">
        <f t="shared" si="1"/>
        <v/>
      </c>
      <c r="I25" s="96" t="str">
        <f t="shared" si="0"/>
        <v/>
      </c>
      <c r="J25" s="80"/>
      <c r="K25" s="91" t="str">
        <f>IF(K24&lt;&gt;"",IF(Main!$B$11-K24&gt;=1,K24+1,""),"")</f>
        <v/>
      </c>
      <c r="L25" s="90" t="str">
        <f>IF(AND((Main!$D$6&gt;0),(K25&lt;&gt;"")),((Main!$D$6/Main!$B$11)*j_diff(Main!$D$7,F26)*Main!$B$7)/365,"")</f>
        <v/>
      </c>
      <c r="M25" s="90" t="str">
        <f>IF(AND((Main!$D$8&gt;0),(K25&lt;&gt;"")),((Main!$D$8/Main!$B$11)*j_diff(Main!$D$9,F26)*Main!$B$7)/365,"")</f>
        <v/>
      </c>
      <c r="N25" s="90" t="str">
        <f>IF(AND((Main!$D$10&gt;0),(K25&lt;&gt;"")),((Main!$D$10/Main!$B$11)*j_diff(Main!$D$11,F26)*Main!$B$7)/365,"")</f>
        <v/>
      </c>
      <c r="O25" s="90" t="str">
        <f>IF(AND((Main!$D$12&gt;0),(K25&lt;&gt;"")),((Main!$D$12/Main!$B$11)*j_diff(Main!$D$13,F26)*Main!$B$7)/365,"")</f>
        <v/>
      </c>
      <c r="P25" s="90" t="str">
        <f>IF(AND((Main!$D$14&gt;0),(K25&lt;&gt;"")),((Main!$D$14/Main!$B$11)*j_diff(Main!$D$15,F26)*Main!$B$7)/365,"")</f>
        <v/>
      </c>
    </row>
    <row r="26" spans="1:16" ht="21">
      <c r="A26" s="80"/>
      <c r="B26" s="80"/>
      <c r="C26" s="80"/>
      <c r="D26" s="80"/>
      <c r="E26" s="91" t="str">
        <f>IF(E25&lt;&gt;"",IF(Main!$B$11-E25&gt;=1,E25+1,""),"")</f>
        <v/>
      </c>
      <c r="F26" s="84" t="str">
        <f>IF(F25&lt;&gt;"",IF(E26&lt;&gt;"",AddMonth(F25,(Main!$B$12/Main!$B$11)),""),"")</f>
        <v/>
      </c>
      <c r="G26" s="94" t="b">
        <f>IF(E26&lt;&gt;"",(Main!$D$6/Main!$B$11)+IF(Main!$D$8&gt;0,(Main!$D$8/Main!$B$11)+IF(Main!$D$10&gt;0,(Main!$D$10/Main!$B$11)+IF(Main!$D$12&gt;0,(Main!$D$12/Main!$B$11)+IF(Main!$D$14&gt;0,(Main!$D$14/Main!$B$11))))))</f>
        <v>0</v>
      </c>
      <c r="H26" s="98" t="str">
        <f t="shared" si="1"/>
        <v/>
      </c>
      <c r="I26" s="96" t="str">
        <f t="shared" si="0"/>
        <v/>
      </c>
      <c r="J26" s="80"/>
      <c r="K26" s="91" t="str">
        <f>IF(K25&lt;&gt;"",IF(Main!$B$11-K25&gt;=1,K25+1,""),"")</f>
        <v/>
      </c>
      <c r="L26" s="100" t="str">
        <f>IF(AND((Main!$D$6&gt;0),(K26&lt;&gt;"")),((Main!$D$6/Main!$B$11)*j_diff(Main!$D$7,F27)*Main!$B$7)/365,"")</f>
        <v/>
      </c>
      <c r="M26" s="100" t="str">
        <f>IF(AND((Main!$D$8&gt;0),(K26&lt;&gt;"")),((Main!$D$8/Main!$B$11)*j_diff(Main!$D$9,F27)*Main!$B$7)/365,"")</f>
        <v/>
      </c>
      <c r="N26" s="100" t="str">
        <f>IF(AND((Main!$D$10&gt;0),(K26&lt;&gt;"")),((Main!$D$10/Main!$B$11)*j_diff(Main!$D$11,F27)*Main!$B$7)/365,"")</f>
        <v/>
      </c>
      <c r="O26" s="100" t="str">
        <f>IF(AND((Main!$D$12&gt;0),(K26&lt;&gt;"")),((Main!$D$12/Main!$B$11)*j_diff(Main!$D$13,F27)*Main!$B$7)/365,"")</f>
        <v/>
      </c>
      <c r="P26" s="100" t="str">
        <f>IF(AND((Main!$D$14&gt;0),(K26&lt;&gt;"")),((Main!$D$14/Main!$B$11)*j_diff(Main!$D$15,F27)*Main!$B$7)/365,"")</f>
        <v/>
      </c>
    </row>
    <row r="27" spans="1:16" ht="21.75" thickBot="1">
      <c r="A27" s="80"/>
      <c r="B27" s="80"/>
      <c r="C27" s="80"/>
      <c r="D27" s="80"/>
      <c r="E27" s="101" t="str">
        <f>IF(E26&lt;&gt;"",IF(Main!$B$11-E26&gt;=1,E26+1,""),"")</f>
        <v/>
      </c>
      <c r="F27" s="102" t="str">
        <f>IF(F26&lt;&gt;"",IF(E27&lt;&gt;"",AddMonth(F26,(Main!$B$12/Main!$B$11)),""),"")</f>
        <v/>
      </c>
      <c r="G27" s="103" t="b">
        <f>IF(E27&lt;&gt;"",(Main!$D$6/Main!$B$11)+IF(Main!$D$8&gt;0,(Main!$D$8/Main!$B$11)+IF(Main!$D$10&gt;0,(Main!$D$10/Main!$B$11)+IF(Main!$D$12&gt;0,(Main!$D$12/Main!$B$11)+IF(Main!$D$14&gt;0,(Main!$D$14/Main!$B$11))))))</f>
        <v>0</v>
      </c>
      <c r="H27" s="104" t="str">
        <f t="shared" si="1"/>
        <v/>
      </c>
      <c r="I27" s="105" t="str">
        <f t="shared" si="0"/>
        <v/>
      </c>
      <c r="J27" s="80"/>
      <c r="K27" s="80"/>
      <c r="L27" s="106">
        <f>SUM(L3:L26)</f>
        <v>372131506.84931505</v>
      </c>
      <c r="M27" s="106">
        <f>SUM(M3:M26)</f>
        <v>270991780.82191777</v>
      </c>
      <c r="N27" s="106">
        <f>SUM(N3:N26)</f>
        <v>60394520.547945201</v>
      </c>
      <c r="O27" s="106">
        <f>SUM(O3:O26)</f>
        <v>0</v>
      </c>
      <c r="P27" s="106">
        <f>SUM(P3:P26)</f>
        <v>0</v>
      </c>
    </row>
    <row r="28" spans="1:16" ht="21">
      <c r="A28" s="80"/>
      <c r="B28" s="80"/>
      <c r="C28" s="80"/>
      <c r="D28" s="80"/>
      <c r="E28" s="115" t="s">
        <v>17</v>
      </c>
      <c r="F28" s="116"/>
      <c r="G28" s="107">
        <f>SUM(G4:G27)</f>
        <v>3799999999.999999</v>
      </c>
      <c r="H28" s="108">
        <f>SUM(H4:H27)</f>
        <v>1407035616.4383559</v>
      </c>
      <c r="I28" s="109">
        <f>SUM(I4:I27)</f>
        <v>4503517808.2191772</v>
      </c>
      <c r="O28" s="79"/>
      <c r="P28" s="79"/>
    </row>
    <row r="29" spans="1:16">
      <c r="A29" s="80"/>
      <c r="B29" s="80"/>
      <c r="C29" s="80"/>
      <c r="D29" s="80"/>
    </row>
    <row r="30" spans="1:16">
      <c r="A30" s="80"/>
      <c r="B30" s="80"/>
      <c r="C30" s="80"/>
      <c r="D30" s="80"/>
    </row>
    <row r="31" spans="1:16">
      <c r="A31" s="80"/>
      <c r="B31" s="80"/>
      <c r="C31" s="80"/>
      <c r="D31" s="80"/>
    </row>
    <row r="32" spans="1:16">
      <c r="A32" s="80"/>
      <c r="B32" s="80"/>
      <c r="C32" s="80"/>
      <c r="D32" s="80"/>
    </row>
    <row r="33" spans="1:4">
      <c r="A33" s="80"/>
      <c r="B33" s="80"/>
      <c r="C33" s="80"/>
      <c r="D33" s="80"/>
    </row>
    <row r="34" spans="1:4">
      <c r="A34" s="80"/>
      <c r="B34" s="80"/>
      <c r="C34" s="80"/>
      <c r="D34" s="80"/>
    </row>
    <row r="35" spans="1:4">
      <c r="A35" s="80"/>
      <c r="B35" s="80"/>
      <c r="C35" s="80"/>
      <c r="D35" s="80"/>
    </row>
    <row r="36" spans="1:4">
      <c r="A36" s="80"/>
      <c r="B36" s="80"/>
      <c r="C36" s="80"/>
      <c r="D36" s="80"/>
    </row>
    <row r="37" spans="1:4">
      <c r="A37" s="80"/>
      <c r="B37" s="80"/>
      <c r="C37" s="80"/>
      <c r="D37" s="80"/>
    </row>
    <row r="38" spans="1:4">
      <c r="A38" s="80"/>
      <c r="B38" s="80"/>
      <c r="C38" s="80"/>
      <c r="D38" s="80"/>
    </row>
    <row r="39" spans="1:4">
      <c r="A39" s="80"/>
      <c r="B39" s="80"/>
      <c r="C39" s="80"/>
      <c r="D39" s="80"/>
    </row>
    <row r="40" spans="1:4">
      <c r="A40" s="80"/>
      <c r="B40" s="80"/>
      <c r="C40" s="80"/>
      <c r="D40" s="80"/>
    </row>
    <row r="41" spans="1:4">
      <c r="A41" s="80"/>
      <c r="B41" s="80"/>
      <c r="C41" s="80"/>
      <c r="D41" s="80"/>
    </row>
    <row r="42" spans="1:4">
      <c r="A42" s="80"/>
      <c r="B42" s="80"/>
      <c r="C42" s="80"/>
      <c r="D42" s="80"/>
    </row>
    <row r="43" spans="1:4">
      <c r="A43" s="80"/>
      <c r="B43" s="80"/>
      <c r="C43" s="80"/>
      <c r="D43" s="81"/>
    </row>
    <row r="44" spans="1:4">
      <c r="A44" s="80"/>
      <c r="B44" s="80"/>
      <c r="C44" s="80"/>
      <c r="D44" s="80"/>
    </row>
    <row r="45" spans="1:4">
      <c r="A45" s="80"/>
      <c r="B45" s="80"/>
      <c r="C45" s="80"/>
      <c r="D45" s="80"/>
    </row>
    <row r="46" spans="1:4">
      <c r="A46" s="80"/>
      <c r="B46" s="80"/>
      <c r="C46" s="80"/>
      <c r="D46" s="80"/>
    </row>
    <row r="47" spans="1:4">
      <c r="A47" s="80"/>
      <c r="B47" s="80"/>
      <c r="C47" s="80"/>
      <c r="D47" s="80"/>
    </row>
    <row r="48" spans="1:4">
      <c r="A48" s="80"/>
      <c r="B48" s="80"/>
      <c r="C48" s="80"/>
      <c r="D48" s="80"/>
    </row>
    <row r="49" spans="1:4">
      <c r="A49" s="80"/>
      <c r="B49" s="78"/>
      <c r="C49" s="80"/>
      <c r="D49" s="80"/>
    </row>
    <row r="50" spans="1:4">
      <c r="A50" s="80"/>
      <c r="B50" s="78"/>
      <c r="C50" s="80"/>
      <c r="D50" s="80"/>
    </row>
    <row r="51" spans="1:4">
      <c r="A51" s="80"/>
      <c r="B51" s="80"/>
      <c r="C51" s="80"/>
      <c r="D51" s="80"/>
    </row>
    <row r="52" spans="1:4">
      <c r="A52" s="80"/>
      <c r="B52" s="80"/>
      <c r="C52" s="80"/>
      <c r="D52" s="81"/>
    </row>
    <row r="53" spans="1:4">
      <c r="A53" s="80"/>
      <c r="B53" s="80"/>
      <c r="C53" s="80"/>
      <c r="D53" s="81"/>
    </row>
    <row r="54" spans="1:4">
      <c r="A54" s="80"/>
      <c r="B54" s="80"/>
      <c r="C54" s="80"/>
      <c r="D54" s="81"/>
    </row>
    <row r="55" spans="1:4">
      <c r="A55" s="80"/>
      <c r="B55" s="80"/>
      <c r="C55" s="80"/>
      <c r="D55" s="81"/>
    </row>
    <row r="56" spans="1:4">
      <c r="A56" s="80"/>
      <c r="B56" s="80"/>
      <c r="C56" s="80"/>
      <c r="D56" s="81"/>
    </row>
    <row r="57" spans="1:4">
      <c r="A57" s="80"/>
      <c r="B57" s="80"/>
      <c r="C57" s="80"/>
      <c r="D57" s="81"/>
    </row>
    <row r="58" spans="1:4">
      <c r="A58" s="80"/>
      <c r="B58" s="80"/>
      <c r="C58" s="80"/>
      <c r="D58" s="81"/>
    </row>
    <row r="59" spans="1:4">
      <c r="A59" s="80"/>
      <c r="B59" s="80"/>
      <c r="C59" s="80"/>
      <c r="D59" s="81"/>
    </row>
    <row r="60" spans="1:4">
      <c r="A60" s="80"/>
      <c r="B60" s="80"/>
      <c r="C60" s="80"/>
      <c r="D60" s="81"/>
    </row>
    <row r="61" spans="1:4">
      <c r="A61" s="80"/>
      <c r="B61" s="80"/>
      <c r="C61" s="80"/>
      <c r="D61" s="81"/>
    </row>
    <row r="62" spans="1:4">
      <c r="A62" s="80"/>
      <c r="B62" s="80"/>
      <c r="C62" s="80"/>
      <c r="D62" s="81"/>
    </row>
    <row r="63" spans="1:4">
      <c r="A63" s="80"/>
      <c r="B63" s="80"/>
      <c r="C63" s="80"/>
      <c r="D63" s="81"/>
    </row>
    <row r="64" spans="1:4">
      <c r="A64" s="80"/>
      <c r="B64" s="80"/>
      <c r="C64" s="80"/>
      <c r="D64" s="81"/>
    </row>
    <row r="65" spans="1:4">
      <c r="A65" s="80"/>
      <c r="B65" s="80"/>
      <c r="C65" s="80"/>
      <c r="D65" s="81"/>
    </row>
    <row r="66" spans="1:4">
      <c r="A66" s="80"/>
      <c r="B66" s="80"/>
      <c r="C66" s="80"/>
      <c r="D66" s="81"/>
    </row>
    <row r="67" spans="1:4">
      <c r="A67" s="80"/>
      <c r="B67" s="80"/>
      <c r="C67" s="80"/>
      <c r="D67" s="81"/>
    </row>
    <row r="68" spans="1:4">
      <c r="A68" s="80"/>
      <c r="B68" s="80"/>
      <c r="C68" s="80"/>
      <c r="D68" s="81"/>
    </row>
    <row r="69" spans="1:4">
      <c r="A69" s="80"/>
      <c r="B69" s="80"/>
      <c r="C69" s="80"/>
      <c r="D69" s="81"/>
    </row>
    <row r="70" spans="1:4">
      <c r="A70" s="80"/>
      <c r="B70" s="80"/>
      <c r="C70" s="80"/>
      <c r="D70" s="81"/>
    </row>
    <row r="71" spans="1:4">
      <c r="A71" s="80"/>
      <c r="B71" s="80"/>
      <c r="C71" s="80"/>
      <c r="D71" s="81"/>
    </row>
    <row r="72" spans="1:4">
      <c r="A72" s="80"/>
      <c r="B72" s="80"/>
      <c r="C72" s="80"/>
      <c r="D72" s="81"/>
    </row>
    <row r="73" spans="1:4">
      <c r="A73" s="80"/>
      <c r="B73" s="80"/>
      <c r="C73" s="80"/>
      <c r="D73" s="81"/>
    </row>
    <row r="74" spans="1:4">
      <c r="A74" s="80"/>
      <c r="B74" s="80"/>
      <c r="C74" s="80"/>
      <c r="D74" s="81"/>
    </row>
    <row r="75" spans="1:4">
      <c r="A75" s="80"/>
      <c r="B75" s="80"/>
      <c r="C75" s="80"/>
      <c r="D75" s="81"/>
    </row>
    <row r="76" spans="1:4">
      <c r="A76" s="80"/>
      <c r="B76" s="80"/>
      <c r="C76" s="80"/>
      <c r="D76" s="81"/>
    </row>
    <row r="77" spans="1:4">
      <c r="A77" s="80"/>
      <c r="B77" s="80"/>
      <c r="C77" s="80"/>
      <c r="D77" s="81"/>
    </row>
    <row r="78" spans="1:4">
      <c r="A78" s="80"/>
      <c r="B78" s="80"/>
      <c r="C78" s="80"/>
      <c r="D78" s="81"/>
    </row>
    <row r="79" spans="1:4">
      <c r="A79" s="80"/>
      <c r="B79" s="80"/>
      <c r="C79" s="80"/>
      <c r="D79" s="81"/>
    </row>
    <row r="80" spans="1:4">
      <c r="A80" s="80"/>
      <c r="B80" s="80"/>
      <c r="C80" s="80"/>
      <c r="D80" s="81"/>
    </row>
    <row r="81" spans="1:4">
      <c r="A81" s="80"/>
      <c r="B81" s="80"/>
      <c r="C81" s="80"/>
      <c r="D81" s="81"/>
    </row>
    <row r="82" spans="1:4">
      <c r="A82" s="80"/>
      <c r="B82" s="80"/>
      <c r="C82" s="80"/>
      <c r="D82" s="81"/>
    </row>
    <row r="83" spans="1:4">
      <c r="A83" s="80"/>
      <c r="B83" s="80"/>
      <c r="C83" s="80"/>
      <c r="D83" s="81"/>
    </row>
    <row r="84" spans="1:4">
      <c r="A84" s="80"/>
      <c r="B84" s="80"/>
      <c r="C84" s="80"/>
      <c r="D84" s="81"/>
    </row>
    <row r="85" spans="1:4">
      <c r="A85" s="80"/>
      <c r="B85" s="80"/>
      <c r="C85" s="80"/>
      <c r="D85" s="81"/>
    </row>
    <row r="86" spans="1:4">
      <c r="A86" s="80"/>
      <c r="B86" s="80"/>
      <c r="C86" s="80"/>
      <c r="D86" s="81"/>
    </row>
    <row r="87" spans="1:4">
      <c r="A87" s="80"/>
      <c r="B87" s="80"/>
      <c r="C87" s="80"/>
      <c r="D87" s="81"/>
    </row>
    <row r="88" spans="1:4">
      <c r="A88" s="80"/>
      <c r="B88" s="80"/>
      <c r="C88" s="80"/>
      <c r="D88" s="81"/>
    </row>
    <row r="89" spans="1:4">
      <c r="A89" s="80"/>
      <c r="B89" s="80"/>
      <c r="C89" s="80"/>
      <c r="D89" s="81"/>
    </row>
    <row r="90" spans="1:4">
      <c r="A90" s="80"/>
      <c r="B90" s="80"/>
      <c r="C90" s="80"/>
      <c r="D90" s="81"/>
    </row>
    <row r="91" spans="1:4">
      <c r="A91" s="80"/>
      <c r="B91" s="80"/>
      <c r="C91" s="80"/>
      <c r="D91" s="81"/>
    </row>
    <row r="92" spans="1:4">
      <c r="A92" s="80"/>
      <c r="B92" s="80"/>
      <c r="C92" s="80"/>
      <c r="D92" s="81"/>
    </row>
    <row r="93" spans="1:4">
      <c r="A93" s="80"/>
      <c r="B93" s="80"/>
      <c r="C93" s="80"/>
      <c r="D93" s="81"/>
    </row>
    <row r="94" spans="1:4">
      <c r="A94" s="80"/>
      <c r="B94" s="80"/>
      <c r="C94" s="80"/>
      <c r="D94" s="81"/>
    </row>
    <row r="95" spans="1:4">
      <c r="A95" s="80"/>
      <c r="B95" s="80"/>
      <c r="C95" s="80"/>
      <c r="D95" s="81"/>
    </row>
    <row r="96" spans="1:4">
      <c r="A96" s="80"/>
      <c r="B96" s="80"/>
      <c r="C96" s="80"/>
      <c r="D96" s="81"/>
    </row>
    <row r="97" spans="1:4">
      <c r="A97" s="80"/>
      <c r="B97" s="80"/>
      <c r="C97" s="80"/>
      <c r="D97" s="81"/>
    </row>
    <row r="98" spans="1:4">
      <c r="A98" s="80"/>
      <c r="B98" s="80"/>
      <c r="C98" s="80"/>
      <c r="D98" s="81"/>
    </row>
    <row r="99" spans="1:4">
      <c r="A99" s="80"/>
      <c r="B99" s="80"/>
      <c r="C99" s="80"/>
      <c r="D99" s="81"/>
    </row>
    <row r="100" spans="1:4">
      <c r="A100" s="80"/>
      <c r="B100" s="80"/>
      <c r="C100" s="80"/>
      <c r="D100" s="81"/>
    </row>
    <row r="101" spans="1:4">
      <c r="A101" s="80"/>
      <c r="B101" s="80"/>
      <c r="C101" s="80"/>
      <c r="D101" s="81"/>
    </row>
    <row r="102" spans="1:4">
      <c r="A102" s="80"/>
      <c r="B102" s="80"/>
      <c r="C102" s="80"/>
      <c r="D102" s="81"/>
    </row>
    <row r="103" spans="1:4">
      <c r="A103" s="80"/>
      <c r="B103" s="80"/>
      <c r="C103" s="80"/>
      <c r="D103" s="81"/>
    </row>
    <row r="104" spans="1:4">
      <c r="A104" s="80"/>
      <c r="B104" s="80"/>
      <c r="C104" s="80"/>
      <c r="D104" s="81"/>
    </row>
    <row r="105" spans="1:4">
      <c r="A105" s="80"/>
      <c r="B105" s="80"/>
      <c r="C105" s="80"/>
      <c r="D105" s="81"/>
    </row>
    <row r="106" spans="1:4">
      <c r="A106" s="80"/>
      <c r="B106" s="80"/>
      <c r="C106" s="80"/>
      <c r="D106" s="81"/>
    </row>
    <row r="107" spans="1:4">
      <c r="A107" s="80"/>
      <c r="B107" s="80"/>
      <c r="C107" s="80"/>
      <c r="D107" s="81"/>
    </row>
    <row r="108" spans="1:4">
      <c r="A108" s="80"/>
      <c r="B108" s="80"/>
      <c r="C108" s="80"/>
      <c r="D108" s="81"/>
    </row>
    <row r="109" spans="1:4">
      <c r="A109" s="80"/>
      <c r="B109" s="80"/>
      <c r="C109" s="80"/>
      <c r="D109" s="81"/>
    </row>
    <row r="110" spans="1:4">
      <c r="A110" s="80"/>
      <c r="B110" s="80"/>
      <c r="C110" s="80"/>
      <c r="D110" s="81"/>
    </row>
    <row r="111" spans="1:4">
      <c r="A111" s="80"/>
      <c r="B111" s="80"/>
      <c r="C111" s="80"/>
      <c r="D111" s="81"/>
    </row>
    <row r="112" spans="1:4">
      <c r="A112" s="80"/>
      <c r="B112" s="80"/>
      <c r="C112" s="80"/>
      <c r="D112" s="81"/>
    </row>
    <row r="113" spans="1:4">
      <c r="A113" s="80"/>
      <c r="B113" s="80"/>
      <c r="C113" s="80"/>
      <c r="D113" s="81"/>
    </row>
    <row r="114" spans="1:4">
      <c r="A114" s="80"/>
      <c r="B114" s="80"/>
      <c r="C114" s="80"/>
      <c r="D114" s="81"/>
    </row>
    <row r="115" spans="1:4">
      <c r="A115" s="80"/>
      <c r="B115" s="80"/>
      <c r="C115" s="80"/>
      <c r="D115" s="81"/>
    </row>
    <row r="116" spans="1:4">
      <c r="A116" s="80"/>
      <c r="B116" s="80"/>
      <c r="C116" s="80"/>
      <c r="D116" s="81"/>
    </row>
    <row r="117" spans="1:4">
      <c r="A117" s="80"/>
      <c r="B117" s="80"/>
      <c r="C117" s="80"/>
      <c r="D117" s="81"/>
    </row>
    <row r="118" spans="1:4">
      <c r="A118" s="80"/>
      <c r="B118" s="80"/>
      <c r="C118" s="80"/>
      <c r="D118" s="81"/>
    </row>
    <row r="119" spans="1:4">
      <c r="A119" s="80"/>
      <c r="B119" s="80"/>
      <c r="C119" s="80"/>
      <c r="D119" s="81"/>
    </row>
    <row r="120" spans="1:4">
      <c r="A120" s="80"/>
      <c r="B120" s="80"/>
      <c r="C120" s="80"/>
      <c r="D120" s="81"/>
    </row>
    <row r="121" spans="1:4">
      <c r="A121" s="80"/>
      <c r="B121" s="80"/>
      <c r="C121" s="80"/>
      <c r="D121" s="81"/>
    </row>
    <row r="122" spans="1:4">
      <c r="A122" s="80"/>
      <c r="B122" s="80"/>
      <c r="C122" s="80"/>
      <c r="D122" s="81"/>
    </row>
    <row r="123" spans="1:4">
      <c r="A123" s="80"/>
      <c r="B123" s="80"/>
      <c r="C123" s="80"/>
      <c r="D123" s="81"/>
    </row>
    <row r="124" spans="1:4">
      <c r="A124" s="80"/>
      <c r="B124" s="80"/>
      <c r="C124" s="80"/>
      <c r="D124" s="81"/>
    </row>
    <row r="125" spans="1:4">
      <c r="A125" s="80"/>
      <c r="B125" s="80"/>
      <c r="C125" s="80"/>
      <c r="D125" s="81"/>
    </row>
    <row r="126" spans="1:4">
      <c r="A126" s="80"/>
      <c r="B126" s="80"/>
      <c r="C126" s="80"/>
      <c r="D126" s="81"/>
    </row>
    <row r="127" spans="1:4">
      <c r="A127" s="80"/>
      <c r="B127" s="80"/>
      <c r="C127" s="80"/>
      <c r="D127" s="81"/>
    </row>
    <row r="128" spans="1:4">
      <c r="A128" s="80"/>
      <c r="B128" s="80"/>
      <c r="C128" s="80"/>
      <c r="D128" s="81"/>
    </row>
    <row r="129" spans="1:4">
      <c r="A129" s="80"/>
      <c r="B129" s="80"/>
      <c r="C129" s="80"/>
      <c r="D129" s="81"/>
    </row>
    <row r="130" spans="1:4">
      <c r="A130" s="80"/>
      <c r="B130" s="80"/>
      <c r="C130" s="80"/>
      <c r="D130" s="81"/>
    </row>
    <row r="131" spans="1:4">
      <c r="A131" s="80"/>
      <c r="B131" s="80"/>
      <c r="C131" s="80"/>
      <c r="D131" s="81"/>
    </row>
    <row r="132" spans="1:4">
      <c r="A132" s="80"/>
      <c r="B132" s="80"/>
      <c r="C132" s="80"/>
      <c r="D132" s="81"/>
    </row>
    <row r="133" spans="1:4">
      <c r="A133" s="80"/>
      <c r="B133" s="80"/>
      <c r="C133" s="80"/>
      <c r="D133" s="81"/>
    </row>
    <row r="134" spans="1:4">
      <c r="A134" s="80"/>
      <c r="B134" s="80"/>
      <c r="C134" s="80"/>
      <c r="D134" s="81"/>
    </row>
    <row r="135" spans="1:4">
      <c r="A135" s="80"/>
      <c r="B135" s="80"/>
      <c r="C135" s="80"/>
      <c r="D135" s="81"/>
    </row>
    <row r="136" spans="1:4">
      <c r="A136" s="80"/>
      <c r="B136" s="80"/>
      <c r="C136" s="80"/>
      <c r="D136" s="81"/>
    </row>
    <row r="137" spans="1:4">
      <c r="A137" s="80"/>
      <c r="B137" s="80"/>
      <c r="C137" s="80"/>
      <c r="D137" s="81"/>
    </row>
    <row r="138" spans="1:4">
      <c r="A138" s="80"/>
      <c r="B138" s="80"/>
      <c r="C138" s="80"/>
      <c r="D138" s="81"/>
    </row>
    <row r="139" spans="1:4">
      <c r="A139" s="80"/>
      <c r="B139" s="80"/>
      <c r="C139" s="80"/>
      <c r="D139" s="81"/>
    </row>
    <row r="140" spans="1:4">
      <c r="A140" s="80"/>
      <c r="B140" s="80"/>
      <c r="C140" s="80"/>
      <c r="D140" s="81"/>
    </row>
    <row r="141" spans="1:4">
      <c r="A141" s="80"/>
      <c r="B141" s="80"/>
      <c r="C141" s="80"/>
      <c r="D141" s="81"/>
    </row>
    <row r="142" spans="1:4">
      <c r="A142" s="80"/>
      <c r="B142" s="80"/>
      <c r="C142" s="80"/>
      <c r="D142" s="81"/>
    </row>
    <row r="143" spans="1:4">
      <c r="A143" s="80"/>
      <c r="B143" s="80"/>
      <c r="C143" s="80"/>
      <c r="D143" s="81"/>
    </row>
    <row r="144" spans="1:4">
      <c r="A144" s="80"/>
      <c r="B144" s="80"/>
      <c r="C144" s="80"/>
      <c r="D144" s="81"/>
    </row>
    <row r="145" spans="1:4">
      <c r="A145" s="80"/>
      <c r="B145" s="80"/>
      <c r="C145" s="80"/>
      <c r="D145" s="81"/>
    </row>
    <row r="146" spans="1:4">
      <c r="A146" s="80"/>
      <c r="B146" s="80"/>
      <c r="C146" s="80"/>
      <c r="D146" s="81"/>
    </row>
    <row r="147" spans="1:4">
      <c r="A147" s="80"/>
      <c r="B147" s="80"/>
      <c r="C147" s="80"/>
      <c r="D147" s="81"/>
    </row>
    <row r="148" spans="1:4">
      <c r="A148" s="80"/>
      <c r="B148" s="80"/>
      <c r="C148" s="80"/>
      <c r="D148" s="81"/>
    </row>
    <row r="149" spans="1:4">
      <c r="A149" s="80"/>
      <c r="B149" s="80"/>
      <c r="C149" s="80"/>
      <c r="D149" s="81"/>
    </row>
    <row r="150" spans="1:4">
      <c r="A150" s="80"/>
      <c r="B150" s="80"/>
      <c r="C150" s="80"/>
      <c r="D150" s="81"/>
    </row>
    <row r="151" spans="1:4">
      <c r="A151" s="80"/>
      <c r="B151" s="80"/>
      <c r="C151" s="80"/>
      <c r="D151" s="81"/>
    </row>
    <row r="152" spans="1:4">
      <c r="A152" s="80"/>
      <c r="B152" s="80"/>
      <c r="C152" s="80"/>
      <c r="D152" s="81"/>
    </row>
    <row r="153" spans="1:4">
      <c r="A153" s="80"/>
      <c r="B153" s="80"/>
      <c r="C153" s="80"/>
      <c r="D153" s="81"/>
    </row>
    <row r="154" spans="1:4">
      <c r="A154" s="80"/>
      <c r="B154" s="80"/>
      <c r="C154" s="80"/>
      <c r="D154" s="81"/>
    </row>
    <row r="155" spans="1:4">
      <c r="A155" s="80"/>
      <c r="B155" s="80"/>
      <c r="C155" s="80"/>
      <c r="D155" s="81"/>
    </row>
    <row r="156" spans="1:4">
      <c r="A156" s="80"/>
      <c r="B156" s="80"/>
      <c r="C156" s="80"/>
      <c r="D156" s="81"/>
    </row>
    <row r="157" spans="1:4">
      <c r="A157" s="80"/>
      <c r="B157" s="80"/>
      <c r="C157" s="80"/>
      <c r="D157" s="81"/>
    </row>
    <row r="158" spans="1:4">
      <c r="A158" s="80"/>
      <c r="B158" s="80"/>
      <c r="C158" s="80"/>
      <c r="D158" s="81"/>
    </row>
    <row r="159" spans="1:4">
      <c r="A159" s="80"/>
      <c r="B159" s="80"/>
      <c r="C159" s="80"/>
      <c r="D159" s="81"/>
    </row>
    <row r="160" spans="1:4">
      <c r="A160" s="80"/>
      <c r="B160" s="80"/>
      <c r="C160" s="80"/>
      <c r="D160" s="81"/>
    </row>
    <row r="161" spans="1:4">
      <c r="A161" s="80"/>
      <c r="B161" s="80"/>
      <c r="C161" s="80"/>
      <c r="D161" s="81"/>
    </row>
    <row r="162" spans="1:4">
      <c r="A162" s="80"/>
      <c r="B162" s="80"/>
      <c r="C162" s="80"/>
      <c r="D162" s="81"/>
    </row>
    <row r="163" spans="1:4">
      <c r="A163" s="80"/>
      <c r="B163" s="80"/>
      <c r="C163" s="80"/>
      <c r="D163" s="81"/>
    </row>
    <row r="164" spans="1:4">
      <c r="A164" s="80"/>
      <c r="B164" s="80"/>
      <c r="C164" s="80"/>
      <c r="D164" s="81"/>
    </row>
    <row r="165" spans="1:4">
      <c r="A165" s="80"/>
      <c r="B165" s="80"/>
      <c r="C165" s="80"/>
      <c r="D165" s="81"/>
    </row>
    <row r="166" spans="1:4">
      <c r="A166" s="80"/>
      <c r="B166" s="80"/>
      <c r="C166" s="80"/>
      <c r="D166" s="81"/>
    </row>
    <row r="167" spans="1:4">
      <c r="A167" s="80"/>
      <c r="B167" s="80"/>
      <c r="C167" s="80"/>
      <c r="D167" s="81"/>
    </row>
    <row r="168" spans="1:4">
      <c r="A168" s="80"/>
      <c r="B168" s="80"/>
      <c r="C168" s="80"/>
      <c r="D168" s="81"/>
    </row>
    <row r="169" spans="1:4">
      <c r="A169" s="80"/>
      <c r="B169" s="80"/>
      <c r="C169" s="80"/>
      <c r="D169" s="81"/>
    </row>
    <row r="170" spans="1:4">
      <c r="A170" s="80"/>
      <c r="B170" s="80"/>
      <c r="C170" s="80"/>
      <c r="D170" s="81"/>
    </row>
    <row r="171" spans="1:4">
      <c r="A171" s="80"/>
      <c r="B171" s="80"/>
      <c r="C171" s="80"/>
      <c r="D171" s="81"/>
    </row>
    <row r="172" spans="1:4">
      <c r="A172" s="80"/>
      <c r="B172" s="80"/>
      <c r="C172" s="80"/>
      <c r="D172" s="81"/>
    </row>
    <row r="173" spans="1:4">
      <c r="A173" s="80"/>
      <c r="B173" s="80"/>
      <c r="C173" s="80"/>
      <c r="D173" s="81"/>
    </row>
    <row r="174" spans="1:4">
      <c r="A174" s="80"/>
      <c r="B174" s="80"/>
      <c r="C174" s="80"/>
      <c r="D174" s="81"/>
    </row>
    <row r="175" spans="1:4">
      <c r="A175" s="80"/>
      <c r="B175" s="80"/>
      <c r="C175" s="80"/>
      <c r="D175" s="81"/>
    </row>
    <row r="176" spans="1:4">
      <c r="A176" s="80"/>
      <c r="B176" s="80"/>
      <c r="C176" s="80"/>
      <c r="D176" s="81"/>
    </row>
    <row r="177" spans="1:4">
      <c r="A177" s="80"/>
      <c r="B177" s="80"/>
      <c r="C177" s="80"/>
      <c r="D177" s="81"/>
    </row>
    <row r="178" spans="1:4">
      <c r="A178" s="80"/>
      <c r="B178" s="80"/>
      <c r="C178" s="80"/>
      <c r="D178" s="81"/>
    </row>
    <row r="179" spans="1:4">
      <c r="A179" s="80"/>
      <c r="B179" s="80"/>
      <c r="C179" s="80"/>
      <c r="D179" s="81"/>
    </row>
    <row r="180" spans="1:4">
      <c r="A180" s="80"/>
      <c r="B180" s="80"/>
      <c r="C180" s="80"/>
      <c r="D180" s="81"/>
    </row>
    <row r="181" spans="1:4">
      <c r="A181" s="80"/>
      <c r="B181" s="80"/>
      <c r="C181" s="80"/>
      <c r="D181" s="81"/>
    </row>
    <row r="182" spans="1:4">
      <c r="A182" s="80"/>
      <c r="B182" s="80"/>
      <c r="C182" s="80"/>
      <c r="D182" s="81"/>
    </row>
    <row r="183" spans="1:4">
      <c r="A183" s="80"/>
      <c r="B183" s="80"/>
      <c r="C183" s="80"/>
      <c r="D183" s="81"/>
    </row>
    <row r="184" spans="1:4">
      <c r="A184" s="80"/>
      <c r="B184" s="80"/>
      <c r="C184" s="80"/>
      <c r="D184" s="81"/>
    </row>
    <row r="185" spans="1:4">
      <c r="A185" s="80"/>
      <c r="B185" s="80"/>
      <c r="C185" s="80"/>
      <c r="D185" s="81"/>
    </row>
    <row r="186" spans="1:4">
      <c r="A186" s="80"/>
      <c r="B186" s="80"/>
      <c r="C186" s="80"/>
      <c r="D186" s="81"/>
    </row>
    <row r="187" spans="1:4">
      <c r="A187" s="80"/>
      <c r="B187" s="80"/>
      <c r="C187" s="80"/>
      <c r="D187" s="81"/>
    </row>
    <row r="188" spans="1:4">
      <c r="A188" s="80"/>
      <c r="B188" s="80"/>
      <c r="C188" s="80"/>
      <c r="D188" s="81"/>
    </row>
    <row r="189" spans="1:4">
      <c r="A189" s="80"/>
      <c r="B189" s="80"/>
      <c r="C189" s="80"/>
      <c r="D189" s="81"/>
    </row>
    <row r="190" spans="1:4">
      <c r="A190" s="80"/>
      <c r="B190" s="80"/>
      <c r="C190" s="80"/>
      <c r="D190" s="81"/>
    </row>
    <row r="191" spans="1:4">
      <c r="A191" s="80"/>
      <c r="B191" s="80"/>
      <c r="C191" s="80"/>
      <c r="D191" s="81"/>
    </row>
    <row r="192" spans="1:4">
      <c r="A192" s="80"/>
      <c r="B192" s="80"/>
      <c r="C192" s="80"/>
      <c r="D192" s="81"/>
    </row>
    <row r="193" spans="1:4">
      <c r="A193" s="80"/>
      <c r="B193" s="80"/>
      <c r="C193" s="80"/>
      <c r="D193" s="81"/>
    </row>
    <row r="194" spans="1:4">
      <c r="A194" s="80"/>
      <c r="B194" s="80"/>
      <c r="C194" s="80"/>
      <c r="D194" s="81"/>
    </row>
    <row r="195" spans="1:4">
      <c r="A195" s="80"/>
      <c r="B195" s="80"/>
      <c r="C195" s="80"/>
      <c r="D195" s="81"/>
    </row>
    <row r="196" spans="1:4">
      <c r="A196" s="80"/>
      <c r="B196" s="80"/>
      <c r="C196" s="80"/>
      <c r="D196" s="81"/>
    </row>
    <row r="197" spans="1:4">
      <c r="A197" s="80"/>
      <c r="B197" s="80"/>
      <c r="C197" s="80"/>
      <c r="D197" s="81"/>
    </row>
    <row r="198" spans="1:4">
      <c r="A198" s="80"/>
      <c r="B198" s="80"/>
      <c r="C198" s="80"/>
      <c r="D198" s="81"/>
    </row>
    <row r="199" spans="1:4">
      <c r="A199" s="80"/>
      <c r="B199" s="80"/>
      <c r="C199" s="80"/>
      <c r="D199" s="81"/>
    </row>
    <row r="200" spans="1:4">
      <c r="A200" s="80"/>
      <c r="B200" s="80"/>
      <c r="C200" s="80"/>
      <c r="D200" s="81"/>
    </row>
    <row r="201" spans="1:4">
      <c r="A201" s="80"/>
      <c r="B201" s="80"/>
      <c r="C201" s="80"/>
      <c r="D201" s="81"/>
    </row>
    <row r="202" spans="1:4">
      <c r="A202" s="80"/>
      <c r="B202" s="80"/>
      <c r="C202" s="80"/>
      <c r="D202" s="81"/>
    </row>
    <row r="203" spans="1:4">
      <c r="A203" s="80"/>
      <c r="B203" s="80"/>
      <c r="C203" s="80"/>
      <c r="D203" s="81"/>
    </row>
    <row r="204" spans="1:4">
      <c r="A204" s="80"/>
      <c r="B204" s="80"/>
      <c r="C204" s="80"/>
      <c r="D204" s="81"/>
    </row>
    <row r="205" spans="1:4">
      <c r="A205" s="80"/>
      <c r="B205" s="80"/>
      <c r="C205" s="80"/>
      <c r="D205" s="81"/>
    </row>
    <row r="206" spans="1:4">
      <c r="A206" s="80"/>
      <c r="B206" s="80"/>
      <c r="C206" s="80"/>
      <c r="D206" s="81"/>
    </row>
    <row r="207" spans="1:4">
      <c r="A207" s="80"/>
      <c r="B207" s="80"/>
      <c r="C207" s="80"/>
      <c r="D207" s="81"/>
    </row>
    <row r="208" spans="1:4">
      <c r="A208" s="80"/>
      <c r="B208" s="80"/>
      <c r="C208" s="80"/>
      <c r="D208" s="81"/>
    </row>
    <row r="209" spans="1:4">
      <c r="A209" s="80"/>
      <c r="B209" s="80"/>
      <c r="C209" s="80"/>
      <c r="D209" s="81"/>
    </row>
    <row r="210" spans="1:4">
      <c r="A210" s="80"/>
      <c r="B210" s="80"/>
      <c r="C210" s="80"/>
      <c r="D210" s="81"/>
    </row>
    <row r="211" spans="1:4">
      <c r="A211" s="80"/>
      <c r="B211" s="80"/>
      <c r="C211" s="80"/>
      <c r="D211" s="81"/>
    </row>
    <row r="212" spans="1:4">
      <c r="A212" s="80"/>
      <c r="B212" s="80"/>
      <c r="C212" s="80"/>
      <c r="D212" s="81"/>
    </row>
    <row r="213" spans="1:4">
      <c r="A213" s="80"/>
      <c r="B213" s="80"/>
      <c r="C213" s="80"/>
      <c r="D213" s="81"/>
    </row>
    <row r="214" spans="1:4">
      <c r="A214" s="80"/>
      <c r="B214" s="80"/>
      <c r="C214" s="80"/>
      <c r="D214" s="81"/>
    </row>
    <row r="215" spans="1:4">
      <c r="A215" s="80"/>
      <c r="B215" s="80"/>
      <c r="C215" s="80"/>
      <c r="D215" s="81"/>
    </row>
    <row r="216" spans="1:4">
      <c r="A216" s="80"/>
      <c r="B216" s="80"/>
      <c r="C216" s="80"/>
      <c r="D216" s="81"/>
    </row>
    <row r="217" spans="1:4">
      <c r="A217" s="80"/>
      <c r="B217" s="80"/>
      <c r="C217" s="80"/>
      <c r="D217" s="81"/>
    </row>
    <row r="218" spans="1:4">
      <c r="A218" s="80"/>
      <c r="B218" s="80"/>
      <c r="C218" s="80"/>
      <c r="D218" s="81"/>
    </row>
    <row r="219" spans="1:4">
      <c r="A219" s="80"/>
      <c r="B219" s="80"/>
      <c r="C219" s="80"/>
      <c r="D219" s="81"/>
    </row>
    <row r="220" spans="1:4">
      <c r="A220" s="80"/>
      <c r="B220" s="80"/>
      <c r="C220" s="80"/>
      <c r="D220" s="81"/>
    </row>
    <row r="221" spans="1:4">
      <c r="A221" s="80"/>
      <c r="B221" s="80"/>
      <c r="C221" s="80"/>
      <c r="D221" s="81"/>
    </row>
    <row r="222" spans="1:4">
      <c r="A222" s="80"/>
      <c r="B222" s="80"/>
      <c r="C222" s="80"/>
      <c r="D222" s="81"/>
    </row>
    <row r="223" spans="1:4">
      <c r="A223" s="80"/>
      <c r="B223" s="80"/>
      <c r="C223" s="80"/>
      <c r="D223" s="81"/>
    </row>
    <row r="224" spans="1:4">
      <c r="A224" s="80"/>
      <c r="B224" s="80"/>
      <c r="C224" s="80"/>
      <c r="D224" s="81"/>
    </row>
    <row r="225" spans="1:4">
      <c r="A225" s="80"/>
      <c r="B225" s="80"/>
      <c r="C225" s="80"/>
      <c r="D225" s="81"/>
    </row>
    <row r="226" spans="1:4">
      <c r="A226" s="80"/>
      <c r="B226" s="80"/>
      <c r="C226" s="80"/>
      <c r="D226" s="81"/>
    </row>
    <row r="227" spans="1:4">
      <c r="A227" s="80"/>
      <c r="B227" s="80"/>
      <c r="C227" s="80"/>
      <c r="D227" s="81"/>
    </row>
    <row r="228" spans="1:4">
      <c r="A228" s="80"/>
      <c r="B228" s="80"/>
      <c r="C228" s="80"/>
      <c r="D228" s="81"/>
    </row>
    <row r="229" spans="1:4">
      <c r="A229" s="80"/>
      <c r="B229" s="80"/>
      <c r="C229" s="80"/>
      <c r="D229" s="81"/>
    </row>
    <row r="230" spans="1:4">
      <c r="A230" s="80"/>
      <c r="B230" s="80"/>
      <c r="C230" s="80"/>
      <c r="D230" s="81"/>
    </row>
    <row r="231" spans="1:4">
      <c r="A231" s="80"/>
      <c r="B231" s="80"/>
      <c r="C231" s="80"/>
      <c r="D231" s="81"/>
    </row>
    <row r="232" spans="1:4">
      <c r="A232" s="80"/>
      <c r="B232" s="80"/>
      <c r="C232" s="80"/>
      <c r="D232" s="81"/>
    </row>
    <row r="233" spans="1:4">
      <c r="A233" s="80"/>
      <c r="B233" s="80"/>
      <c r="C233" s="80"/>
      <c r="D233" s="81"/>
    </row>
    <row r="234" spans="1:4">
      <c r="A234" s="80"/>
      <c r="B234" s="80"/>
      <c r="C234" s="80"/>
      <c r="D234" s="81"/>
    </row>
    <row r="235" spans="1:4">
      <c r="A235" s="80"/>
      <c r="B235" s="80"/>
      <c r="C235" s="80"/>
      <c r="D235" s="81"/>
    </row>
    <row r="236" spans="1:4">
      <c r="A236" s="80"/>
      <c r="B236" s="80"/>
      <c r="C236" s="80"/>
      <c r="D236" s="81"/>
    </row>
    <row r="237" spans="1:4">
      <c r="A237" s="80"/>
      <c r="B237" s="80"/>
      <c r="C237" s="80"/>
      <c r="D237" s="81"/>
    </row>
    <row r="238" spans="1:4">
      <c r="A238" s="80"/>
      <c r="B238" s="80"/>
      <c r="C238" s="80"/>
      <c r="D238" s="81"/>
    </row>
    <row r="239" spans="1:4">
      <c r="A239" s="80"/>
      <c r="B239" s="80"/>
      <c r="C239" s="80"/>
      <c r="D239" s="81"/>
    </row>
    <row r="240" spans="1:4">
      <c r="A240" s="80"/>
      <c r="B240" s="80"/>
      <c r="C240" s="80"/>
      <c r="D240" s="81"/>
    </row>
    <row r="241" spans="1:4">
      <c r="A241" s="80"/>
      <c r="B241" s="80"/>
      <c r="C241" s="80"/>
      <c r="D241" s="81"/>
    </row>
    <row r="242" spans="1:4">
      <c r="A242" s="80"/>
      <c r="B242" s="80"/>
      <c r="C242" s="80"/>
      <c r="D242" s="81"/>
    </row>
    <row r="243" spans="1:4">
      <c r="A243" s="80"/>
      <c r="B243" s="80"/>
      <c r="C243" s="80"/>
      <c r="D243" s="81"/>
    </row>
    <row r="244" spans="1:4">
      <c r="A244" s="80"/>
      <c r="B244" s="80"/>
      <c r="C244" s="80"/>
      <c r="D244" s="81"/>
    </row>
    <row r="245" spans="1:4">
      <c r="A245" s="80"/>
      <c r="B245" s="80"/>
      <c r="C245" s="80"/>
      <c r="D245" s="81"/>
    </row>
    <row r="246" spans="1:4">
      <c r="A246" s="80"/>
      <c r="B246" s="80"/>
      <c r="C246" s="80"/>
      <c r="D246" s="81"/>
    </row>
    <row r="247" spans="1:4">
      <c r="A247" s="80"/>
      <c r="B247" s="80"/>
      <c r="C247" s="80"/>
      <c r="D247" s="81"/>
    </row>
    <row r="248" spans="1:4">
      <c r="A248" s="80"/>
      <c r="B248" s="80"/>
      <c r="C248" s="80"/>
      <c r="D248" s="81"/>
    </row>
    <row r="249" spans="1:4">
      <c r="A249" s="80"/>
      <c r="B249" s="80"/>
      <c r="C249" s="80"/>
      <c r="D249" s="81"/>
    </row>
    <row r="250" spans="1:4">
      <c r="A250" s="80"/>
      <c r="B250" s="80"/>
      <c r="C250" s="80"/>
      <c r="D250" s="81"/>
    </row>
    <row r="251" spans="1:4">
      <c r="A251" s="80"/>
      <c r="B251" s="80"/>
      <c r="C251" s="80"/>
      <c r="D251" s="81"/>
    </row>
    <row r="252" spans="1:4">
      <c r="A252" s="80"/>
      <c r="B252" s="80"/>
      <c r="C252" s="80"/>
      <c r="D252" s="81"/>
    </row>
    <row r="253" spans="1:4">
      <c r="A253" s="80"/>
      <c r="B253" s="80"/>
      <c r="C253" s="80"/>
      <c r="D253" s="81"/>
    </row>
    <row r="254" spans="1:4">
      <c r="A254" s="80"/>
      <c r="B254" s="80"/>
      <c r="C254" s="80"/>
      <c r="D254" s="81"/>
    </row>
    <row r="255" spans="1:4">
      <c r="A255" s="80"/>
      <c r="B255" s="80"/>
      <c r="C255" s="80"/>
      <c r="D255" s="81"/>
    </row>
    <row r="256" spans="1:4">
      <c r="A256" s="80"/>
      <c r="B256" s="80"/>
      <c r="C256" s="80"/>
      <c r="D256" s="81"/>
    </row>
    <row r="257" spans="1:4">
      <c r="A257" s="80"/>
      <c r="B257" s="80"/>
      <c r="C257" s="80"/>
      <c r="D257" s="81"/>
    </row>
    <row r="258" spans="1:4">
      <c r="A258" s="80"/>
      <c r="B258" s="80"/>
      <c r="C258" s="80"/>
      <c r="D258" s="81"/>
    </row>
    <row r="259" spans="1:4">
      <c r="A259" s="80"/>
      <c r="B259" s="80"/>
      <c r="C259" s="80"/>
      <c r="D259" s="81"/>
    </row>
    <row r="260" spans="1:4">
      <c r="A260" s="80"/>
      <c r="B260" s="80"/>
      <c r="C260" s="80"/>
      <c r="D260" s="81"/>
    </row>
    <row r="261" spans="1:4">
      <c r="A261" s="80"/>
      <c r="B261" s="80"/>
      <c r="C261" s="80"/>
      <c r="D261" s="81"/>
    </row>
    <row r="262" spans="1:4">
      <c r="A262" s="80"/>
      <c r="B262" s="80"/>
      <c r="C262" s="80"/>
      <c r="D262" s="81"/>
    </row>
    <row r="263" spans="1:4">
      <c r="A263" s="80"/>
      <c r="B263" s="80"/>
      <c r="C263" s="80"/>
      <c r="D263" s="81"/>
    </row>
    <row r="264" spans="1:4">
      <c r="A264" s="80"/>
      <c r="B264" s="80"/>
      <c r="C264" s="80"/>
      <c r="D264" s="81"/>
    </row>
    <row r="265" spans="1:4">
      <c r="A265" s="80"/>
      <c r="B265" s="80"/>
      <c r="C265" s="80"/>
      <c r="D265" s="81"/>
    </row>
    <row r="266" spans="1:4">
      <c r="A266" s="80"/>
      <c r="B266" s="80"/>
      <c r="C266" s="80"/>
      <c r="D266" s="81"/>
    </row>
    <row r="267" spans="1:4">
      <c r="A267" s="80"/>
      <c r="B267" s="80"/>
      <c r="C267" s="80"/>
      <c r="D267" s="81"/>
    </row>
    <row r="268" spans="1:4">
      <c r="A268" s="80"/>
      <c r="B268" s="80"/>
      <c r="C268" s="80"/>
      <c r="D268" s="81"/>
    </row>
    <row r="269" spans="1:4">
      <c r="A269" s="80"/>
      <c r="B269" s="80"/>
      <c r="C269" s="80"/>
      <c r="D269" s="81"/>
    </row>
    <row r="270" spans="1:4">
      <c r="A270" s="80"/>
      <c r="B270" s="80"/>
      <c r="C270" s="80"/>
      <c r="D270" s="81"/>
    </row>
    <row r="271" spans="1:4">
      <c r="A271" s="80"/>
      <c r="B271" s="80"/>
      <c r="C271" s="80"/>
      <c r="D271" s="81"/>
    </row>
    <row r="272" spans="1:4">
      <c r="A272" s="80"/>
      <c r="B272" s="80"/>
      <c r="C272" s="80"/>
      <c r="D272" s="81"/>
    </row>
    <row r="273" spans="1:4">
      <c r="A273" s="80"/>
      <c r="B273" s="80"/>
      <c r="C273" s="80"/>
      <c r="D273" s="81"/>
    </row>
    <row r="274" spans="1:4">
      <c r="A274" s="80"/>
      <c r="B274" s="80"/>
      <c r="C274" s="80"/>
      <c r="D274" s="81"/>
    </row>
    <row r="275" spans="1:4">
      <c r="A275" s="80"/>
      <c r="B275" s="80"/>
      <c r="C275" s="80"/>
      <c r="D275" s="81"/>
    </row>
    <row r="276" spans="1:4">
      <c r="A276" s="80"/>
      <c r="B276" s="80"/>
      <c r="C276" s="80"/>
      <c r="D276" s="81"/>
    </row>
    <row r="277" spans="1:4">
      <c r="A277" s="80"/>
      <c r="B277" s="80"/>
      <c r="C277" s="80"/>
      <c r="D277" s="81"/>
    </row>
    <row r="278" spans="1:4">
      <c r="A278" s="80"/>
      <c r="B278" s="80"/>
      <c r="C278" s="80"/>
      <c r="D278" s="81"/>
    </row>
    <row r="279" spans="1:4">
      <c r="A279" s="80"/>
      <c r="B279" s="80"/>
      <c r="C279" s="80"/>
      <c r="D279" s="81"/>
    </row>
    <row r="280" spans="1:4">
      <c r="A280" s="80"/>
      <c r="B280" s="80"/>
      <c r="C280" s="80"/>
      <c r="D280" s="81"/>
    </row>
    <row r="281" spans="1:4">
      <c r="A281" s="80"/>
      <c r="B281" s="80"/>
      <c r="C281" s="80"/>
      <c r="D281" s="81"/>
    </row>
    <row r="282" spans="1:4">
      <c r="A282" s="80"/>
      <c r="B282" s="80"/>
      <c r="C282" s="80"/>
      <c r="D282" s="81"/>
    </row>
    <row r="283" spans="1:4">
      <c r="A283" s="80"/>
      <c r="B283" s="80"/>
      <c r="C283" s="80"/>
      <c r="D283" s="81"/>
    </row>
    <row r="284" spans="1:4">
      <c r="A284" s="80"/>
      <c r="B284" s="80"/>
      <c r="C284" s="80"/>
      <c r="D284" s="81"/>
    </row>
    <row r="285" spans="1:4">
      <c r="A285" s="80"/>
      <c r="B285" s="80"/>
      <c r="C285" s="80"/>
      <c r="D285" s="81"/>
    </row>
    <row r="286" spans="1:4">
      <c r="A286" s="80"/>
      <c r="B286" s="80"/>
      <c r="C286" s="80"/>
      <c r="D286" s="81"/>
    </row>
    <row r="287" spans="1:4">
      <c r="A287" s="80"/>
      <c r="B287" s="80"/>
      <c r="C287" s="80"/>
      <c r="D287" s="81"/>
    </row>
    <row r="288" spans="1:4">
      <c r="A288" s="80"/>
      <c r="B288" s="80"/>
      <c r="C288" s="80"/>
      <c r="D288" s="81"/>
    </row>
    <row r="289" spans="1:4">
      <c r="A289" s="80"/>
      <c r="B289" s="80"/>
      <c r="C289" s="80"/>
      <c r="D289" s="81"/>
    </row>
    <row r="290" spans="1:4">
      <c r="A290" s="80"/>
      <c r="B290" s="80"/>
      <c r="C290" s="80"/>
      <c r="D290" s="81"/>
    </row>
    <row r="291" spans="1:4">
      <c r="A291" s="80"/>
      <c r="B291" s="80"/>
      <c r="C291" s="80"/>
      <c r="D291" s="81"/>
    </row>
    <row r="292" spans="1:4">
      <c r="A292" s="80"/>
      <c r="B292" s="80"/>
      <c r="C292" s="80"/>
      <c r="D292" s="81"/>
    </row>
    <row r="293" spans="1:4">
      <c r="A293" s="80"/>
      <c r="B293" s="80"/>
      <c r="C293" s="80"/>
      <c r="D293" s="81"/>
    </row>
    <row r="294" spans="1:4">
      <c r="A294" s="80"/>
      <c r="B294" s="80"/>
      <c r="C294" s="80"/>
      <c r="D294" s="81"/>
    </row>
    <row r="295" spans="1:4">
      <c r="A295" s="80"/>
      <c r="B295" s="80"/>
      <c r="C295" s="80"/>
      <c r="D295" s="81"/>
    </row>
    <row r="296" spans="1:4">
      <c r="A296" s="80"/>
      <c r="B296" s="80"/>
      <c r="C296" s="80"/>
      <c r="D296" s="81"/>
    </row>
    <row r="297" spans="1:4">
      <c r="A297" s="80"/>
      <c r="B297" s="80"/>
      <c r="C297" s="80"/>
      <c r="D297" s="81"/>
    </row>
    <row r="298" spans="1:4">
      <c r="A298" s="80"/>
      <c r="B298" s="80"/>
      <c r="C298" s="80"/>
      <c r="D298" s="81"/>
    </row>
    <row r="299" spans="1:4">
      <c r="A299" s="80"/>
      <c r="B299" s="80"/>
      <c r="C299" s="80"/>
      <c r="D299" s="81"/>
    </row>
    <row r="300" spans="1:4">
      <c r="A300" s="80"/>
      <c r="B300" s="80"/>
      <c r="C300" s="80"/>
      <c r="D300" s="81"/>
    </row>
    <row r="301" spans="1:4">
      <c r="A301" s="80"/>
      <c r="B301" s="80"/>
      <c r="C301" s="80"/>
      <c r="D301" s="81"/>
    </row>
    <row r="302" spans="1:4">
      <c r="A302" s="80"/>
      <c r="B302" s="80"/>
      <c r="C302" s="80"/>
      <c r="D302" s="81"/>
    </row>
    <row r="303" spans="1:4">
      <c r="A303" s="80"/>
      <c r="B303" s="80"/>
      <c r="C303" s="80"/>
      <c r="D303" s="81"/>
    </row>
    <row r="304" spans="1:4">
      <c r="A304" s="80"/>
      <c r="B304" s="80"/>
      <c r="C304" s="80"/>
      <c r="D304" s="81"/>
    </row>
    <row r="305" spans="1:4">
      <c r="A305" s="80"/>
      <c r="B305" s="80"/>
      <c r="C305" s="80"/>
      <c r="D305" s="81"/>
    </row>
    <row r="306" spans="1:4">
      <c r="A306" s="80"/>
      <c r="B306" s="80"/>
      <c r="C306" s="80"/>
      <c r="D306" s="81"/>
    </row>
    <row r="307" spans="1:4">
      <c r="A307" s="80"/>
      <c r="B307" s="80"/>
      <c r="C307" s="80"/>
      <c r="D307" s="81"/>
    </row>
    <row r="308" spans="1:4">
      <c r="A308" s="80"/>
      <c r="B308" s="80"/>
      <c r="C308" s="80"/>
      <c r="D308" s="81"/>
    </row>
    <row r="309" spans="1:4">
      <c r="A309" s="80"/>
      <c r="B309" s="80"/>
      <c r="C309" s="80"/>
      <c r="D309" s="81"/>
    </row>
    <row r="310" spans="1:4">
      <c r="A310" s="80"/>
      <c r="B310" s="80"/>
      <c r="C310" s="80"/>
      <c r="D310" s="81"/>
    </row>
    <row r="311" spans="1:4">
      <c r="A311" s="80"/>
      <c r="B311" s="80"/>
      <c r="C311" s="80"/>
      <c r="D311" s="81"/>
    </row>
    <row r="312" spans="1:4">
      <c r="A312" s="80"/>
      <c r="B312" s="80"/>
      <c r="C312" s="80"/>
      <c r="D312" s="81"/>
    </row>
    <row r="313" spans="1:4">
      <c r="A313" s="80"/>
      <c r="B313" s="80"/>
      <c r="C313" s="80"/>
      <c r="D313" s="81"/>
    </row>
    <row r="314" spans="1:4">
      <c r="A314" s="80"/>
      <c r="B314" s="80"/>
      <c r="C314" s="80"/>
      <c r="D314" s="81"/>
    </row>
    <row r="315" spans="1:4">
      <c r="A315" s="80"/>
      <c r="B315" s="80"/>
      <c r="C315" s="80"/>
      <c r="D315" s="81"/>
    </row>
    <row r="316" spans="1:4">
      <c r="A316" s="80"/>
      <c r="B316" s="80"/>
      <c r="C316" s="80"/>
      <c r="D316" s="81"/>
    </row>
    <row r="317" spans="1:4">
      <c r="A317" s="80"/>
      <c r="B317" s="80"/>
      <c r="C317" s="80"/>
      <c r="D317" s="81"/>
    </row>
    <row r="318" spans="1:4">
      <c r="A318" s="80"/>
      <c r="B318" s="80"/>
      <c r="C318" s="80"/>
      <c r="D318" s="81"/>
    </row>
    <row r="319" spans="1:4">
      <c r="A319" s="80"/>
      <c r="B319" s="80"/>
      <c r="C319" s="80"/>
      <c r="D319" s="81"/>
    </row>
    <row r="320" spans="1:4">
      <c r="A320" s="80"/>
      <c r="B320" s="80"/>
      <c r="C320" s="80"/>
      <c r="D320" s="81"/>
    </row>
    <row r="321" spans="1:4">
      <c r="A321" s="80"/>
      <c r="B321" s="80"/>
      <c r="C321" s="80"/>
      <c r="D321" s="81"/>
    </row>
    <row r="322" spans="1:4">
      <c r="A322" s="80"/>
      <c r="B322" s="80"/>
      <c r="C322" s="80"/>
      <c r="D322" s="81"/>
    </row>
    <row r="323" spans="1:4">
      <c r="A323" s="80"/>
      <c r="B323" s="80"/>
      <c r="C323" s="80"/>
      <c r="D323" s="81"/>
    </row>
    <row r="324" spans="1:4">
      <c r="A324" s="80"/>
      <c r="B324" s="80"/>
      <c r="C324" s="80"/>
      <c r="D324" s="81"/>
    </row>
    <row r="325" spans="1:4">
      <c r="A325" s="80"/>
      <c r="B325" s="80"/>
      <c r="C325" s="80"/>
      <c r="D325" s="81"/>
    </row>
    <row r="326" spans="1:4">
      <c r="A326" s="80"/>
      <c r="B326" s="80"/>
      <c r="C326" s="80"/>
      <c r="D326" s="81"/>
    </row>
    <row r="327" spans="1:4">
      <c r="A327" s="80"/>
      <c r="B327" s="80"/>
      <c r="C327" s="80"/>
      <c r="D327" s="81"/>
    </row>
    <row r="328" spans="1:4">
      <c r="A328" s="80"/>
      <c r="B328" s="80"/>
      <c r="C328" s="80"/>
      <c r="D328" s="81"/>
    </row>
    <row r="329" spans="1:4">
      <c r="A329" s="80"/>
      <c r="B329" s="80"/>
      <c r="C329" s="80"/>
      <c r="D329" s="81"/>
    </row>
    <row r="330" spans="1:4">
      <c r="A330" s="80"/>
      <c r="B330" s="80"/>
      <c r="C330" s="80"/>
      <c r="D330" s="81"/>
    </row>
    <row r="331" spans="1:4">
      <c r="A331" s="80"/>
      <c r="B331" s="80"/>
      <c r="C331" s="80"/>
      <c r="D331" s="81"/>
    </row>
    <row r="332" spans="1:4">
      <c r="A332" s="80"/>
      <c r="B332" s="80"/>
      <c r="C332" s="80"/>
      <c r="D332" s="81"/>
    </row>
    <row r="333" spans="1:4">
      <c r="A333" s="80"/>
      <c r="B333" s="80"/>
      <c r="C333" s="80"/>
      <c r="D333" s="81"/>
    </row>
    <row r="334" spans="1:4">
      <c r="A334" s="80"/>
      <c r="B334" s="80"/>
      <c r="C334" s="80"/>
      <c r="D334" s="81"/>
    </row>
    <row r="335" spans="1:4">
      <c r="A335" s="80"/>
      <c r="B335" s="80"/>
      <c r="C335" s="80"/>
      <c r="D335" s="81"/>
    </row>
    <row r="336" spans="1:4">
      <c r="A336" s="80"/>
      <c r="B336" s="80"/>
      <c r="C336" s="80"/>
      <c r="D336" s="81"/>
    </row>
    <row r="337" spans="1:4">
      <c r="A337" s="80"/>
      <c r="B337" s="80"/>
      <c r="C337" s="80"/>
      <c r="D337" s="81"/>
    </row>
    <row r="338" spans="1:4">
      <c r="A338" s="80"/>
      <c r="B338" s="80"/>
      <c r="C338" s="80"/>
      <c r="D338" s="81"/>
    </row>
    <row r="339" spans="1:4">
      <c r="A339" s="80"/>
      <c r="B339" s="80"/>
      <c r="C339" s="80"/>
      <c r="D339" s="81"/>
    </row>
    <row r="340" spans="1:4">
      <c r="A340" s="80"/>
      <c r="B340" s="80"/>
      <c r="C340" s="80"/>
      <c r="D340" s="81"/>
    </row>
    <row r="341" spans="1:4">
      <c r="A341" s="80"/>
      <c r="B341" s="80"/>
      <c r="C341" s="80"/>
      <c r="D341" s="81"/>
    </row>
    <row r="342" spans="1:4">
      <c r="A342" s="80"/>
      <c r="B342" s="80"/>
      <c r="C342" s="80"/>
      <c r="D342" s="81"/>
    </row>
    <row r="343" spans="1:4">
      <c r="A343" s="80"/>
      <c r="B343" s="80"/>
      <c r="C343" s="80"/>
      <c r="D343" s="81"/>
    </row>
    <row r="344" spans="1:4">
      <c r="A344" s="80"/>
      <c r="B344" s="80"/>
      <c r="C344" s="80"/>
      <c r="D344" s="81"/>
    </row>
    <row r="345" spans="1:4">
      <c r="A345" s="80"/>
      <c r="B345" s="80"/>
      <c r="C345" s="80"/>
      <c r="D345" s="81"/>
    </row>
    <row r="346" spans="1:4">
      <c r="A346" s="80"/>
      <c r="B346" s="80"/>
      <c r="C346" s="80"/>
      <c r="D346" s="81"/>
    </row>
    <row r="347" spans="1:4">
      <c r="A347" s="80"/>
      <c r="B347" s="80"/>
      <c r="C347" s="80"/>
      <c r="D347" s="81"/>
    </row>
    <row r="348" spans="1:4">
      <c r="A348" s="80"/>
      <c r="B348" s="80"/>
      <c r="C348" s="80"/>
      <c r="D348" s="81"/>
    </row>
    <row r="349" spans="1:4">
      <c r="A349" s="80"/>
      <c r="B349" s="80"/>
      <c r="C349" s="80"/>
      <c r="D349" s="81"/>
    </row>
    <row r="350" spans="1:4">
      <c r="A350" s="80"/>
      <c r="B350" s="80"/>
      <c r="C350" s="80"/>
      <c r="D350" s="81"/>
    </row>
    <row r="351" spans="1:4">
      <c r="A351" s="80"/>
      <c r="B351" s="80"/>
      <c r="C351" s="80"/>
      <c r="D351" s="81"/>
    </row>
    <row r="352" spans="1:4">
      <c r="A352" s="80"/>
      <c r="B352" s="80"/>
      <c r="C352" s="80"/>
      <c r="D352" s="81"/>
    </row>
    <row r="353" spans="1:4">
      <c r="A353" s="80"/>
      <c r="B353" s="80"/>
      <c r="C353" s="80"/>
      <c r="D353" s="81"/>
    </row>
    <row r="354" spans="1:4">
      <c r="A354" s="80"/>
      <c r="B354" s="80"/>
      <c r="C354" s="80"/>
      <c r="D354" s="81"/>
    </row>
    <row r="355" spans="1:4">
      <c r="A355" s="80"/>
      <c r="B355" s="80"/>
      <c r="C355" s="80"/>
      <c r="D355" s="81"/>
    </row>
    <row r="356" spans="1:4">
      <c r="A356" s="80"/>
      <c r="B356" s="80"/>
      <c r="C356" s="80"/>
      <c r="D356" s="81"/>
    </row>
    <row r="357" spans="1:4">
      <c r="A357" s="80"/>
      <c r="B357" s="80"/>
      <c r="C357" s="80"/>
      <c r="D357" s="81"/>
    </row>
    <row r="358" spans="1:4">
      <c r="A358" s="80"/>
      <c r="B358" s="80"/>
      <c r="C358" s="80"/>
      <c r="D358" s="81"/>
    </row>
    <row r="359" spans="1:4">
      <c r="A359" s="80"/>
      <c r="B359" s="80"/>
      <c r="C359" s="80"/>
      <c r="D359" s="81"/>
    </row>
    <row r="360" spans="1:4">
      <c r="A360" s="80"/>
      <c r="B360" s="80"/>
      <c r="C360" s="80"/>
      <c r="D360" s="81"/>
    </row>
    <row r="361" spans="1:4">
      <c r="A361" s="80"/>
      <c r="B361" s="80"/>
      <c r="C361" s="80"/>
      <c r="D361" s="81"/>
    </row>
    <row r="362" spans="1:4">
      <c r="A362" s="80"/>
      <c r="B362" s="80"/>
      <c r="C362" s="80"/>
      <c r="D362" s="81"/>
    </row>
    <row r="363" spans="1:4">
      <c r="A363" s="80"/>
      <c r="B363" s="80"/>
      <c r="C363" s="80"/>
      <c r="D363" s="81"/>
    </row>
    <row r="364" spans="1:4">
      <c r="A364" s="80"/>
      <c r="B364" s="80"/>
      <c r="C364" s="80"/>
      <c r="D364" s="81"/>
    </row>
    <row r="365" spans="1:4">
      <c r="A365" s="80"/>
      <c r="B365" s="80"/>
      <c r="C365" s="80"/>
      <c r="D365" s="81"/>
    </row>
    <row r="366" spans="1:4">
      <c r="A366" s="80"/>
      <c r="B366" s="80"/>
      <c r="C366" s="80"/>
      <c r="D366" s="81"/>
    </row>
    <row r="367" spans="1:4">
      <c r="A367" s="80"/>
      <c r="B367" s="80"/>
      <c r="C367" s="80"/>
      <c r="D367" s="81"/>
    </row>
    <row r="368" spans="1:4">
      <c r="A368" s="80"/>
      <c r="B368" s="80"/>
      <c r="C368" s="80"/>
      <c r="D368" s="81"/>
    </row>
    <row r="369" spans="1:4">
      <c r="A369" s="80"/>
      <c r="B369" s="80"/>
      <c r="C369" s="80"/>
      <c r="D369" s="81"/>
    </row>
    <row r="370" spans="1:4">
      <c r="A370" s="80"/>
      <c r="B370" s="80"/>
      <c r="C370" s="80"/>
      <c r="D370" s="81"/>
    </row>
    <row r="371" spans="1:4">
      <c r="A371" s="80"/>
      <c r="B371" s="80"/>
      <c r="C371" s="80"/>
      <c r="D371" s="81"/>
    </row>
    <row r="372" spans="1:4">
      <c r="A372" s="80"/>
      <c r="B372" s="80"/>
      <c r="C372" s="80"/>
      <c r="D372" s="81"/>
    </row>
    <row r="373" spans="1:4">
      <c r="A373" s="80"/>
      <c r="B373" s="80"/>
      <c r="C373" s="80"/>
      <c r="D373" s="81"/>
    </row>
    <row r="374" spans="1:4">
      <c r="A374" s="80"/>
      <c r="B374" s="80"/>
      <c r="C374" s="80"/>
      <c r="D374" s="81"/>
    </row>
    <row r="375" spans="1:4">
      <c r="A375" s="80"/>
      <c r="B375" s="80"/>
      <c r="C375" s="80"/>
      <c r="D375" s="81"/>
    </row>
    <row r="376" spans="1:4">
      <c r="A376" s="80"/>
      <c r="B376" s="80"/>
      <c r="C376" s="80"/>
      <c r="D376" s="81"/>
    </row>
    <row r="377" spans="1:4">
      <c r="A377" s="80"/>
      <c r="B377" s="80"/>
      <c r="C377" s="80"/>
      <c r="D377" s="81"/>
    </row>
    <row r="378" spans="1:4">
      <c r="A378" s="80"/>
      <c r="B378" s="80"/>
      <c r="C378" s="80"/>
      <c r="D378" s="81"/>
    </row>
    <row r="379" spans="1:4">
      <c r="A379" s="80"/>
      <c r="B379" s="80"/>
      <c r="C379" s="80"/>
      <c r="D379" s="81"/>
    </row>
    <row r="380" spans="1:4">
      <c r="A380" s="80"/>
      <c r="B380" s="80"/>
      <c r="C380" s="80"/>
      <c r="D380" s="81"/>
    </row>
    <row r="381" spans="1:4">
      <c r="A381" s="80"/>
      <c r="B381" s="80"/>
      <c r="C381" s="80"/>
      <c r="D381" s="81"/>
    </row>
    <row r="382" spans="1:4">
      <c r="A382" s="80"/>
      <c r="B382" s="80"/>
      <c r="C382" s="80"/>
      <c r="D382" s="81"/>
    </row>
    <row r="383" spans="1:4">
      <c r="A383" s="80"/>
      <c r="B383" s="80"/>
      <c r="C383" s="80"/>
      <c r="D383" s="81"/>
    </row>
    <row r="384" spans="1:4">
      <c r="A384" s="80"/>
      <c r="B384" s="80"/>
      <c r="C384" s="80"/>
      <c r="D384" s="81"/>
    </row>
    <row r="385" spans="1:4">
      <c r="A385" s="80"/>
      <c r="B385" s="80"/>
      <c r="C385" s="80"/>
      <c r="D385" s="81"/>
    </row>
    <row r="386" spans="1:4">
      <c r="A386" s="80"/>
      <c r="B386" s="80"/>
      <c r="C386" s="80"/>
      <c r="D386" s="81"/>
    </row>
    <row r="387" spans="1:4">
      <c r="A387" s="80"/>
      <c r="B387" s="80"/>
      <c r="C387" s="80"/>
      <c r="D387" s="81"/>
    </row>
    <row r="388" spans="1:4">
      <c r="A388" s="80"/>
      <c r="B388" s="80"/>
      <c r="C388" s="80"/>
      <c r="D388" s="81"/>
    </row>
    <row r="389" spans="1:4">
      <c r="A389" s="80"/>
      <c r="B389" s="80"/>
      <c r="C389" s="80"/>
      <c r="D389" s="81"/>
    </row>
    <row r="390" spans="1:4">
      <c r="A390" s="80"/>
      <c r="B390" s="80"/>
      <c r="C390" s="80"/>
      <c r="D390" s="81"/>
    </row>
    <row r="391" spans="1:4">
      <c r="A391" s="80"/>
      <c r="B391" s="80"/>
      <c r="C391" s="80"/>
      <c r="D391" s="81"/>
    </row>
    <row r="392" spans="1:4">
      <c r="A392" s="80"/>
      <c r="B392" s="80"/>
      <c r="C392" s="80"/>
      <c r="D392" s="81"/>
    </row>
    <row r="393" spans="1:4">
      <c r="A393" s="80"/>
      <c r="B393" s="80"/>
      <c r="C393" s="80"/>
      <c r="D393" s="81"/>
    </row>
    <row r="394" spans="1:4">
      <c r="A394" s="80"/>
      <c r="B394" s="80"/>
      <c r="C394" s="80"/>
      <c r="D394" s="81"/>
    </row>
    <row r="395" spans="1:4">
      <c r="A395" s="80"/>
      <c r="B395" s="80"/>
      <c r="C395" s="80"/>
      <c r="D395" s="81"/>
    </row>
    <row r="396" spans="1:4">
      <c r="A396" s="80"/>
      <c r="B396" s="80"/>
      <c r="C396" s="80"/>
      <c r="D396" s="81"/>
    </row>
    <row r="397" spans="1:4">
      <c r="A397" s="80"/>
      <c r="B397" s="80"/>
      <c r="C397" s="80"/>
      <c r="D397" s="81"/>
    </row>
    <row r="398" spans="1:4">
      <c r="A398" s="80"/>
      <c r="B398" s="80"/>
      <c r="C398" s="80"/>
      <c r="D398" s="81"/>
    </row>
    <row r="399" spans="1:4">
      <c r="A399" s="80"/>
      <c r="B399" s="80"/>
      <c r="C399" s="80"/>
      <c r="D399" s="81"/>
    </row>
    <row r="400" spans="1:4">
      <c r="A400" s="80"/>
      <c r="B400" s="80"/>
      <c r="C400" s="80"/>
      <c r="D400" s="81"/>
    </row>
    <row r="401" spans="1:4">
      <c r="A401" s="80"/>
      <c r="B401" s="80"/>
      <c r="C401" s="80"/>
      <c r="D401" s="81"/>
    </row>
    <row r="402" spans="1:4">
      <c r="A402" s="80"/>
      <c r="B402" s="80"/>
      <c r="C402" s="80"/>
      <c r="D402" s="81"/>
    </row>
    <row r="403" spans="1:4">
      <c r="A403" s="80"/>
      <c r="B403" s="80"/>
      <c r="C403" s="80"/>
      <c r="D403" s="81"/>
    </row>
    <row r="404" spans="1:4">
      <c r="A404" s="80"/>
      <c r="B404" s="80"/>
      <c r="C404" s="80"/>
      <c r="D404" s="81"/>
    </row>
    <row r="405" spans="1:4">
      <c r="A405" s="80"/>
      <c r="B405" s="80"/>
      <c r="C405" s="80"/>
      <c r="D405" s="81"/>
    </row>
    <row r="406" spans="1:4">
      <c r="A406" s="80"/>
      <c r="B406" s="80"/>
      <c r="C406" s="80"/>
      <c r="D406" s="81"/>
    </row>
    <row r="407" spans="1:4">
      <c r="A407" s="80"/>
      <c r="B407" s="80"/>
      <c r="C407" s="80"/>
      <c r="D407" s="81"/>
    </row>
    <row r="408" spans="1:4">
      <c r="A408" s="80"/>
      <c r="B408" s="80"/>
      <c r="C408" s="80"/>
      <c r="D408" s="81"/>
    </row>
    <row r="409" spans="1:4">
      <c r="A409" s="80"/>
      <c r="B409" s="80"/>
      <c r="C409" s="80"/>
      <c r="D409" s="81"/>
    </row>
    <row r="410" spans="1:4">
      <c r="A410" s="80"/>
      <c r="B410" s="80"/>
      <c r="C410" s="80"/>
      <c r="D410" s="81"/>
    </row>
    <row r="411" spans="1:4">
      <c r="A411" s="80"/>
      <c r="B411" s="80"/>
      <c r="C411" s="80"/>
      <c r="D411" s="81"/>
    </row>
    <row r="412" spans="1:4">
      <c r="A412" s="80"/>
      <c r="B412" s="80"/>
      <c r="C412" s="80"/>
      <c r="D412" s="81"/>
    </row>
    <row r="413" spans="1:4">
      <c r="A413" s="80"/>
      <c r="B413" s="80"/>
      <c r="C413" s="80"/>
      <c r="D413" s="81"/>
    </row>
    <row r="414" spans="1:4">
      <c r="A414" s="80"/>
      <c r="B414" s="80"/>
      <c r="C414" s="80"/>
      <c r="D414" s="81"/>
    </row>
    <row r="415" spans="1:4">
      <c r="A415" s="80"/>
      <c r="B415" s="80"/>
      <c r="C415" s="80"/>
      <c r="D415" s="81"/>
    </row>
    <row r="416" spans="1:4">
      <c r="A416" s="80"/>
      <c r="B416" s="80"/>
      <c r="C416" s="80"/>
      <c r="D416" s="81"/>
    </row>
    <row r="417" spans="1:4">
      <c r="A417" s="80"/>
      <c r="B417" s="80"/>
      <c r="C417" s="80"/>
      <c r="D417" s="81"/>
    </row>
    <row r="418" spans="1:4">
      <c r="A418" s="80"/>
      <c r="B418" s="80"/>
      <c r="C418" s="80"/>
      <c r="D418" s="81"/>
    </row>
    <row r="419" spans="1:4">
      <c r="A419" s="80"/>
      <c r="B419" s="80"/>
      <c r="C419" s="80"/>
      <c r="D419" s="81"/>
    </row>
    <row r="420" spans="1:4">
      <c r="A420" s="80"/>
      <c r="B420" s="80"/>
      <c r="C420" s="80"/>
      <c r="D420" s="81"/>
    </row>
    <row r="421" spans="1:4">
      <c r="A421" s="80"/>
      <c r="B421" s="80"/>
      <c r="C421" s="80"/>
      <c r="D421" s="81"/>
    </row>
    <row r="422" spans="1:4">
      <c r="A422" s="80"/>
      <c r="B422" s="80"/>
      <c r="C422" s="80"/>
      <c r="D422" s="81"/>
    </row>
    <row r="423" spans="1:4">
      <c r="A423" s="80"/>
      <c r="B423" s="80"/>
      <c r="C423" s="80"/>
      <c r="D423" s="81"/>
    </row>
    <row r="424" spans="1:4">
      <c r="A424" s="80"/>
      <c r="B424" s="80"/>
      <c r="C424" s="80"/>
      <c r="D424" s="81"/>
    </row>
    <row r="425" spans="1:4">
      <c r="A425" s="80"/>
      <c r="B425" s="80"/>
      <c r="C425" s="80"/>
      <c r="D425" s="81"/>
    </row>
    <row r="426" spans="1:4">
      <c r="A426" s="80"/>
      <c r="B426" s="80"/>
      <c r="C426" s="80"/>
      <c r="D426" s="81"/>
    </row>
    <row r="427" spans="1:4">
      <c r="A427" s="80"/>
      <c r="B427" s="80"/>
      <c r="C427" s="80"/>
      <c r="D427" s="81"/>
    </row>
    <row r="428" spans="1:4">
      <c r="A428" s="80"/>
      <c r="B428" s="80"/>
      <c r="C428" s="80"/>
      <c r="D428" s="81"/>
    </row>
    <row r="429" spans="1:4">
      <c r="A429" s="80"/>
      <c r="B429" s="80"/>
      <c r="C429" s="80"/>
      <c r="D429" s="81"/>
    </row>
    <row r="430" spans="1:4">
      <c r="A430" s="80"/>
      <c r="B430" s="80"/>
      <c r="C430" s="80"/>
      <c r="D430" s="81"/>
    </row>
    <row r="431" spans="1:4">
      <c r="A431" s="80"/>
      <c r="B431" s="80"/>
      <c r="C431" s="80"/>
      <c r="D431" s="81"/>
    </row>
    <row r="432" spans="1:4">
      <c r="A432" s="80"/>
      <c r="B432" s="80"/>
      <c r="C432" s="80"/>
      <c r="D432" s="81"/>
    </row>
    <row r="433" spans="1:4">
      <c r="A433" s="80"/>
      <c r="B433" s="80"/>
      <c r="C433" s="80"/>
      <c r="D433" s="81"/>
    </row>
    <row r="434" spans="1:4">
      <c r="A434" s="80"/>
      <c r="B434" s="80"/>
      <c r="C434" s="80"/>
      <c r="D434" s="81"/>
    </row>
    <row r="435" spans="1:4">
      <c r="A435" s="80"/>
      <c r="B435" s="80"/>
      <c r="C435" s="80"/>
      <c r="D435" s="81"/>
    </row>
    <row r="436" spans="1:4">
      <c r="A436" s="80"/>
      <c r="B436" s="80"/>
      <c r="C436" s="80"/>
      <c r="D436" s="81"/>
    </row>
    <row r="437" spans="1:4">
      <c r="A437" s="80"/>
      <c r="B437" s="80"/>
      <c r="C437" s="80"/>
      <c r="D437" s="81"/>
    </row>
    <row r="438" spans="1:4">
      <c r="A438" s="80"/>
      <c r="B438" s="80"/>
      <c r="C438" s="80"/>
      <c r="D438" s="81"/>
    </row>
    <row r="439" spans="1:4">
      <c r="A439" s="80"/>
      <c r="B439" s="80"/>
      <c r="C439" s="80"/>
      <c r="D439" s="81"/>
    </row>
    <row r="440" spans="1:4">
      <c r="A440" s="80"/>
      <c r="B440" s="80"/>
      <c r="C440" s="80"/>
      <c r="D440" s="81"/>
    </row>
    <row r="441" spans="1:4">
      <c r="A441" s="80"/>
      <c r="B441" s="80"/>
      <c r="C441" s="80"/>
      <c r="D441" s="81"/>
    </row>
    <row r="442" spans="1:4">
      <c r="A442" s="80"/>
      <c r="B442" s="80"/>
      <c r="C442" s="80"/>
      <c r="D442" s="81"/>
    </row>
    <row r="443" spans="1:4">
      <c r="A443" s="80"/>
      <c r="B443" s="80"/>
      <c r="C443" s="80"/>
      <c r="D443" s="81"/>
    </row>
    <row r="444" spans="1:4">
      <c r="A444" s="80"/>
      <c r="B444" s="80"/>
      <c r="C444" s="80"/>
      <c r="D444" s="81"/>
    </row>
    <row r="445" spans="1:4">
      <c r="A445" s="80"/>
      <c r="B445" s="80"/>
      <c r="C445" s="80"/>
      <c r="D445" s="81"/>
    </row>
    <row r="446" spans="1:4">
      <c r="A446" s="80"/>
      <c r="B446" s="80"/>
      <c r="C446" s="80"/>
      <c r="D446" s="81"/>
    </row>
    <row r="447" spans="1:4">
      <c r="A447" s="80"/>
      <c r="B447" s="80"/>
      <c r="C447" s="80"/>
      <c r="D447" s="81"/>
    </row>
    <row r="448" spans="1:4">
      <c r="A448" s="80"/>
      <c r="B448" s="80"/>
      <c r="C448" s="80"/>
      <c r="D448" s="81"/>
    </row>
    <row r="449" spans="1:4">
      <c r="A449" s="80"/>
      <c r="B449" s="80"/>
      <c r="C449" s="80"/>
      <c r="D449" s="81"/>
    </row>
    <row r="450" spans="1:4">
      <c r="A450" s="80"/>
      <c r="B450" s="80"/>
      <c r="C450" s="80"/>
      <c r="D450" s="81"/>
    </row>
    <row r="451" spans="1:4">
      <c r="A451" s="80"/>
      <c r="B451" s="80"/>
      <c r="C451" s="80"/>
      <c r="D451" s="81"/>
    </row>
    <row r="452" spans="1:4">
      <c r="A452" s="80"/>
      <c r="B452" s="80"/>
      <c r="C452" s="80"/>
      <c r="D452" s="81"/>
    </row>
    <row r="453" spans="1:4">
      <c r="A453" s="80"/>
      <c r="B453" s="80"/>
      <c r="C453" s="80"/>
      <c r="D453" s="81"/>
    </row>
    <row r="454" spans="1:4">
      <c r="A454" s="80"/>
      <c r="B454" s="80"/>
      <c r="C454" s="80"/>
      <c r="D454" s="81"/>
    </row>
    <row r="455" spans="1:4">
      <c r="A455" s="80"/>
      <c r="B455" s="80"/>
      <c r="C455" s="80"/>
      <c r="D455" s="81"/>
    </row>
    <row r="456" spans="1:4">
      <c r="A456" s="80"/>
      <c r="B456" s="80"/>
      <c r="C456" s="80"/>
      <c r="D456" s="81"/>
    </row>
    <row r="457" spans="1:4">
      <c r="A457" s="80"/>
      <c r="B457" s="80"/>
      <c r="C457" s="80"/>
      <c r="D457" s="81"/>
    </row>
    <row r="458" spans="1:4">
      <c r="A458" s="80"/>
      <c r="B458" s="80"/>
      <c r="C458" s="80"/>
      <c r="D458" s="81"/>
    </row>
    <row r="459" spans="1:4">
      <c r="A459" s="80"/>
      <c r="B459" s="80"/>
      <c r="C459" s="80"/>
      <c r="D459" s="81"/>
    </row>
    <row r="460" spans="1:4">
      <c r="A460" s="80"/>
      <c r="B460" s="80"/>
      <c r="C460" s="80"/>
      <c r="D460" s="81"/>
    </row>
    <row r="461" spans="1:4">
      <c r="A461" s="80"/>
      <c r="B461" s="80"/>
      <c r="C461" s="80"/>
      <c r="D461" s="81"/>
    </row>
    <row r="462" spans="1:4">
      <c r="A462" s="80"/>
      <c r="B462" s="80"/>
      <c r="C462" s="80"/>
      <c r="D462" s="81"/>
    </row>
    <row r="463" spans="1:4">
      <c r="A463" s="80"/>
      <c r="B463" s="80"/>
      <c r="C463" s="80"/>
      <c r="D463" s="81"/>
    </row>
    <row r="464" spans="1:4">
      <c r="A464" s="80"/>
      <c r="B464" s="80"/>
      <c r="C464" s="80"/>
      <c r="D464" s="81"/>
    </row>
    <row r="465" spans="1:4">
      <c r="A465" s="80"/>
      <c r="B465" s="80"/>
      <c r="C465" s="80"/>
      <c r="D465" s="81"/>
    </row>
    <row r="466" spans="1:4">
      <c r="A466" s="80"/>
      <c r="B466" s="80"/>
      <c r="C466" s="80"/>
      <c r="D466" s="81"/>
    </row>
    <row r="467" spans="1:4">
      <c r="A467" s="80"/>
      <c r="B467" s="80"/>
      <c r="C467" s="80"/>
      <c r="D467" s="81"/>
    </row>
    <row r="468" spans="1:4">
      <c r="A468" s="80"/>
      <c r="B468" s="80"/>
      <c r="C468" s="80"/>
      <c r="D468" s="81"/>
    </row>
    <row r="469" spans="1:4">
      <c r="A469" s="80"/>
      <c r="B469" s="80"/>
      <c r="C469" s="80"/>
      <c r="D469" s="81"/>
    </row>
    <row r="470" spans="1:4">
      <c r="A470" s="80"/>
      <c r="B470" s="80"/>
      <c r="C470" s="80"/>
      <c r="D470" s="81"/>
    </row>
    <row r="471" spans="1:4">
      <c r="A471" s="80"/>
      <c r="B471" s="80"/>
      <c r="C471" s="80"/>
      <c r="D471" s="81"/>
    </row>
    <row r="472" spans="1:4">
      <c r="A472" s="80"/>
      <c r="B472" s="80"/>
      <c r="C472" s="80"/>
      <c r="D472" s="81"/>
    </row>
    <row r="473" spans="1:4">
      <c r="A473" s="80"/>
      <c r="B473" s="80"/>
      <c r="C473" s="80"/>
      <c r="D473" s="81"/>
    </row>
    <row r="474" spans="1:4">
      <c r="A474" s="80"/>
      <c r="B474" s="80"/>
      <c r="C474" s="80"/>
      <c r="D474" s="81"/>
    </row>
    <row r="475" spans="1:4">
      <c r="A475" s="80"/>
      <c r="B475" s="80"/>
      <c r="C475" s="80"/>
      <c r="D475" s="81"/>
    </row>
    <row r="476" spans="1:4">
      <c r="A476" s="80"/>
      <c r="B476" s="80"/>
      <c r="C476" s="80"/>
      <c r="D476" s="81"/>
    </row>
    <row r="477" spans="1:4">
      <c r="A477" s="80"/>
      <c r="B477" s="80"/>
      <c r="C477" s="80"/>
      <c r="D477" s="81"/>
    </row>
    <row r="478" spans="1:4">
      <c r="A478" s="80"/>
      <c r="B478" s="80"/>
      <c r="C478" s="80"/>
      <c r="D478" s="81"/>
    </row>
    <row r="479" spans="1:4">
      <c r="A479" s="80"/>
      <c r="B479" s="80"/>
      <c r="C479" s="80"/>
      <c r="D479" s="81"/>
    </row>
    <row r="480" spans="1:4">
      <c r="A480" s="80"/>
      <c r="B480" s="80"/>
      <c r="C480" s="80"/>
      <c r="D480" s="81"/>
    </row>
    <row r="481" spans="1:4">
      <c r="A481" s="80"/>
      <c r="B481" s="80"/>
      <c r="C481" s="80"/>
      <c r="D481" s="81"/>
    </row>
    <row r="482" spans="1:4">
      <c r="A482" s="80"/>
      <c r="B482" s="80"/>
      <c r="C482" s="80"/>
      <c r="D482" s="81"/>
    </row>
    <row r="483" spans="1:4">
      <c r="A483" s="80"/>
      <c r="B483" s="80"/>
      <c r="C483" s="80"/>
      <c r="D483" s="81"/>
    </row>
    <row r="484" spans="1:4">
      <c r="A484" s="80"/>
      <c r="B484" s="80"/>
      <c r="C484" s="80"/>
      <c r="D484" s="81"/>
    </row>
    <row r="485" spans="1:4">
      <c r="A485" s="80"/>
      <c r="B485" s="80"/>
      <c r="C485" s="80"/>
      <c r="D485" s="81"/>
    </row>
    <row r="486" spans="1:4">
      <c r="A486" s="80"/>
      <c r="B486" s="80"/>
      <c r="C486" s="80"/>
      <c r="D486" s="81"/>
    </row>
    <row r="487" spans="1:4">
      <c r="A487" s="80"/>
      <c r="B487" s="80"/>
      <c r="C487" s="80"/>
      <c r="D487" s="81"/>
    </row>
    <row r="488" spans="1:4">
      <c r="A488" s="80"/>
      <c r="B488" s="80"/>
      <c r="C488" s="80"/>
      <c r="D488" s="81"/>
    </row>
    <row r="489" spans="1:4">
      <c r="A489" s="80"/>
      <c r="B489" s="80"/>
      <c r="C489" s="80"/>
      <c r="D489" s="81"/>
    </row>
    <row r="490" spans="1:4">
      <c r="A490" s="80"/>
      <c r="B490" s="80"/>
      <c r="C490" s="80"/>
      <c r="D490" s="81"/>
    </row>
    <row r="491" spans="1:4">
      <c r="A491" s="80"/>
      <c r="B491" s="80"/>
      <c r="C491" s="80"/>
      <c r="D491" s="81"/>
    </row>
    <row r="492" spans="1:4">
      <c r="A492" s="80"/>
      <c r="B492" s="80"/>
      <c r="C492" s="80"/>
      <c r="D492" s="81"/>
    </row>
    <row r="493" spans="1:4">
      <c r="A493" s="80"/>
      <c r="B493" s="80"/>
      <c r="C493" s="80"/>
      <c r="D493" s="81"/>
    </row>
    <row r="494" spans="1:4">
      <c r="A494" s="80"/>
      <c r="B494" s="80"/>
      <c r="C494" s="80"/>
      <c r="D494" s="81"/>
    </row>
    <row r="495" spans="1:4">
      <c r="A495" s="80"/>
      <c r="B495" s="80"/>
      <c r="C495" s="80"/>
      <c r="D495" s="81"/>
    </row>
    <row r="496" spans="1:4">
      <c r="A496" s="80"/>
      <c r="B496" s="80"/>
      <c r="C496" s="80"/>
      <c r="D496" s="81"/>
    </row>
    <row r="497" spans="1:4">
      <c r="A497" s="80"/>
      <c r="B497" s="80"/>
      <c r="C497" s="80"/>
      <c r="D497" s="81"/>
    </row>
    <row r="498" spans="1:4">
      <c r="A498" s="80"/>
      <c r="B498" s="80"/>
      <c r="C498" s="80"/>
      <c r="D498" s="81"/>
    </row>
    <row r="499" spans="1:4">
      <c r="A499" s="80"/>
      <c r="B499" s="80"/>
      <c r="C499" s="80"/>
      <c r="D499" s="81"/>
    </row>
    <row r="500" spans="1:4">
      <c r="A500" s="80"/>
      <c r="B500" s="80"/>
      <c r="C500" s="80"/>
      <c r="D500" s="81"/>
    </row>
    <row r="501" spans="1:4">
      <c r="A501" s="80"/>
      <c r="B501" s="80"/>
      <c r="C501" s="80"/>
      <c r="D501" s="81"/>
    </row>
    <row r="502" spans="1:4">
      <c r="A502" s="80"/>
      <c r="B502" s="80"/>
      <c r="C502" s="80"/>
      <c r="D502" s="81"/>
    </row>
    <row r="503" spans="1:4">
      <c r="A503" s="80"/>
      <c r="B503" s="80"/>
      <c r="C503" s="80"/>
      <c r="D503" s="81"/>
    </row>
    <row r="504" spans="1:4">
      <c r="A504" s="80"/>
      <c r="B504" s="80"/>
      <c r="C504" s="80"/>
      <c r="D504" s="81"/>
    </row>
    <row r="505" spans="1:4">
      <c r="A505" s="80"/>
      <c r="B505" s="80"/>
      <c r="C505" s="80"/>
      <c r="D505" s="81"/>
    </row>
    <row r="506" spans="1:4">
      <c r="A506" s="80"/>
      <c r="B506" s="80"/>
      <c r="C506" s="80"/>
      <c r="D506" s="81"/>
    </row>
    <row r="507" spans="1:4">
      <c r="A507" s="80"/>
      <c r="B507" s="80"/>
      <c r="C507" s="80"/>
      <c r="D507" s="81"/>
    </row>
    <row r="508" spans="1:4">
      <c r="A508" s="80"/>
      <c r="B508" s="80"/>
      <c r="C508" s="80"/>
      <c r="D508" s="81"/>
    </row>
    <row r="509" spans="1:4">
      <c r="A509" s="80"/>
      <c r="B509" s="80"/>
      <c r="C509" s="80"/>
      <c r="D509" s="81"/>
    </row>
    <row r="510" spans="1:4">
      <c r="A510" s="80"/>
      <c r="B510" s="80"/>
      <c r="C510" s="80"/>
      <c r="D510" s="81"/>
    </row>
    <row r="511" spans="1:4">
      <c r="A511" s="80"/>
      <c r="B511" s="80"/>
      <c r="C511" s="80"/>
      <c r="D511" s="81"/>
    </row>
    <row r="512" spans="1:4">
      <c r="A512" s="80"/>
      <c r="B512" s="80"/>
      <c r="C512" s="80"/>
      <c r="D512" s="81"/>
    </row>
    <row r="513" spans="1:4">
      <c r="A513" s="80"/>
      <c r="B513" s="80"/>
      <c r="C513" s="80"/>
      <c r="D513" s="81"/>
    </row>
    <row r="514" spans="1:4">
      <c r="A514" s="80"/>
      <c r="B514" s="80"/>
      <c r="C514" s="80"/>
      <c r="D514" s="81"/>
    </row>
    <row r="515" spans="1:4">
      <c r="A515" s="80"/>
      <c r="B515" s="80"/>
      <c r="C515" s="80"/>
      <c r="D515" s="81"/>
    </row>
    <row r="516" spans="1:4">
      <c r="A516" s="80"/>
      <c r="B516" s="80"/>
      <c r="C516" s="80"/>
      <c r="D516" s="81"/>
    </row>
    <row r="517" spans="1:4">
      <c r="A517" s="80"/>
      <c r="B517" s="80"/>
      <c r="C517" s="80"/>
      <c r="D517" s="81"/>
    </row>
    <row r="518" spans="1:4">
      <c r="A518" s="80"/>
      <c r="B518" s="80"/>
      <c r="C518" s="80"/>
      <c r="D518" s="81"/>
    </row>
    <row r="519" spans="1:4">
      <c r="A519" s="80"/>
      <c r="B519" s="80"/>
      <c r="C519" s="80"/>
      <c r="D519" s="81"/>
    </row>
    <row r="520" spans="1:4">
      <c r="A520" s="80"/>
      <c r="B520" s="80"/>
      <c r="C520" s="80"/>
      <c r="D520" s="81"/>
    </row>
    <row r="521" spans="1:4">
      <c r="A521" s="80"/>
      <c r="B521" s="80"/>
      <c r="C521" s="80"/>
      <c r="D521" s="81"/>
    </row>
    <row r="522" spans="1:4">
      <c r="A522" s="80"/>
      <c r="B522" s="80"/>
      <c r="C522" s="80"/>
      <c r="D522" s="81"/>
    </row>
    <row r="523" spans="1:4">
      <c r="A523" s="80"/>
      <c r="B523" s="80"/>
      <c r="C523" s="80"/>
      <c r="D523" s="81"/>
    </row>
    <row r="524" spans="1:4">
      <c r="A524" s="80"/>
      <c r="B524" s="80"/>
      <c r="C524" s="80"/>
      <c r="D524" s="81"/>
    </row>
    <row r="525" spans="1:4">
      <c r="A525" s="80"/>
      <c r="B525" s="80"/>
      <c r="C525" s="80"/>
      <c r="D525" s="81"/>
    </row>
    <row r="526" spans="1:4">
      <c r="A526" s="80"/>
      <c r="B526" s="80"/>
      <c r="C526" s="80"/>
      <c r="D526" s="81"/>
    </row>
    <row r="527" spans="1:4">
      <c r="A527" s="80"/>
      <c r="B527" s="80"/>
      <c r="C527" s="80"/>
      <c r="D527" s="81"/>
    </row>
    <row r="528" spans="1:4">
      <c r="A528" s="80"/>
      <c r="B528" s="80"/>
      <c r="C528" s="80"/>
      <c r="D528" s="81"/>
    </row>
    <row r="529" spans="1:4">
      <c r="A529" s="80"/>
      <c r="B529" s="80"/>
      <c r="C529" s="80"/>
      <c r="D529" s="81"/>
    </row>
    <row r="530" spans="1:4">
      <c r="A530" s="80"/>
      <c r="B530" s="80"/>
      <c r="C530" s="80"/>
      <c r="D530" s="81"/>
    </row>
    <row r="531" spans="1:4">
      <c r="A531" s="80"/>
      <c r="B531" s="80"/>
      <c r="C531" s="80"/>
      <c r="D531" s="81"/>
    </row>
    <row r="532" spans="1:4">
      <c r="A532" s="80"/>
      <c r="B532" s="80"/>
      <c r="C532" s="80"/>
      <c r="D532" s="81"/>
    </row>
  </sheetData>
  <mergeCells count="9">
    <mergeCell ref="E2:I2"/>
    <mergeCell ref="E28:F28"/>
    <mergeCell ref="A2:D2"/>
    <mergeCell ref="A13:B13"/>
    <mergeCell ref="A18:C18"/>
    <mergeCell ref="A14:B14"/>
    <mergeCell ref="B5:D5"/>
    <mergeCell ref="B4:D4"/>
    <mergeCell ref="B3:D3"/>
  </mergeCells>
  <dataValidations count="3">
    <dataValidation operator="greaterThan" allowBlank="1" showErrorMessage="1" errorTitle="cxvcxv" error="vbcxbcxbcx" sqref="D16"/>
    <dataValidation operator="equal" allowBlank="1" showInputMessage="1" showErrorMessage="1" sqref="B10"/>
    <dataValidation type="custom" allowBlank="1" showInputMessage="1" showErrorMessage="1" errorTitle="توجه" error="تعداد بازپرداخت باید با دوره بازپرداخت متناسب (بخش پذیر) باشد" sqref="B11">
      <formula1>MOD(B12,B11)=0</formula1>
    </dataValidation>
  </dataValidations>
  <printOptions horizontalCentered="1"/>
  <pageMargins left="0.5" right="0.5" top="0.5" bottom="0.5" header="0.3" footer="0.3"/>
  <pageSetup paperSize="9" orientation="portrait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3">
                <anchor moveWithCells="1" sizeWithCells="1">
                  <from>
                    <xdr:col>0</xdr:col>
                    <xdr:colOff>714375</xdr:colOff>
                    <xdr:row>13</xdr:row>
                    <xdr:rowOff>228600</xdr:rowOff>
                  </from>
                  <to>
                    <xdr:col>1</xdr:col>
                    <xdr:colOff>438150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N48"/>
  <sheetViews>
    <sheetView rightToLeft="1" zoomScale="90" zoomScaleNormal="90" workbookViewId="0">
      <selection activeCell="E4" sqref="E4"/>
    </sheetView>
  </sheetViews>
  <sheetFormatPr defaultColWidth="9.140625" defaultRowHeight="18.75"/>
  <cols>
    <col min="1" max="1" width="9.140625" style="79"/>
    <col min="2" max="2" width="8.28515625" style="80" customWidth="1"/>
    <col min="3" max="3" width="16.85546875" style="80" customWidth="1"/>
    <col min="4" max="6" width="20.7109375" style="80" customWidth="1"/>
    <col min="7" max="7" width="10" style="80" customWidth="1"/>
    <col min="8" max="8" width="17.85546875" style="79" customWidth="1"/>
    <col min="9" max="9" width="6.140625" style="79" customWidth="1"/>
    <col min="10" max="14" width="20.7109375" style="79" customWidth="1"/>
    <col min="15" max="16384" width="9.140625" style="79"/>
  </cols>
  <sheetData>
    <row r="2" spans="2:14" ht="21">
      <c r="B2" s="112" t="s">
        <v>3</v>
      </c>
      <c r="C2" s="113"/>
      <c r="D2" s="113"/>
      <c r="E2" s="113"/>
      <c r="F2" s="114"/>
      <c r="H2" s="84" t="s">
        <v>4</v>
      </c>
      <c r="I2" s="84" t="s">
        <v>6</v>
      </c>
      <c r="J2" s="85" t="s">
        <v>7</v>
      </c>
      <c r="K2" s="85" t="s">
        <v>8</v>
      </c>
      <c r="L2" s="85" t="s">
        <v>9</v>
      </c>
      <c r="M2" s="85" t="s">
        <v>10</v>
      </c>
      <c r="N2" s="85" t="s">
        <v>11</v>
      </c>
    </row>
    <row r="3" spans="2:14" ht="21.75" thickBot="1">
      <c r="B3" s="86" t="s">
        <v>1</v>
      </c>
      <c r="C3" s="86" t="s">
        <v>0</v>
      </c>
      <c r="D3" s="87" t="s">
        <v>19</v>
      </c>
      <c r="E3" s="88" t="s">
        <v>20</v>
      </c>
      <c r="F3" s="89" t="s">
        <v>49</v>
      </c>
      <c r="H3" s="90">
        <f>(J27+K27+L27+M27+N27)/Main!$B$11</f>
        <v>117252968.03652966</v>
      </c>
      <c r="I3" s="91">
        <f>IF(Main!$B$11&lt;&gt;"",1,"")</f>
        <v>1</v>
      </c>
      <c r="J3" s="90">
        <f>IF(AND((Main!$D$6&gt;0),(I3&lt;&gt;"")),((Main!$D$6/Main!$B$11)*j_diff(Main!$D$7,C4)*Main!$B$7)/365,"")</f>
        <v>41408219.17808219</v>
      </c>
      <c r="K3" s="90">
        <f>IF(AND((Main!$D$8&gt;0),(I3&lt;&gt;"")),((Main!$D$8/Main!$B$11)*j_diff(Main!$D$9,C4)*Main!$B$7)/365,"")</f>
        <v>26842009.132420089</v>
      </c>
      <c r="L3" s="90">
        <f>IF(AND((Main!$D$10&gt;0),(I3&lt;&gt;"")),((Main!$D$10/Main!$B$11)*j_diff(Main!$D$11,C4)*Main!$B$7)/365,"")</f>
        <v>5484931.506849315</v>
      </c>
      <c r="M3" s="90" t="str">
        <f>IF(AND((Main!$D$12&gt;0),(I3&lt;&gt;"")),((Main!$D$12/Main!$B$11)*j_diff(Main!$D$13,C4)*Main!$B$7)/365,"")</f>
        <v/>
      </c>
      <c r="N3" s="90" t="str">
        <f>IF(AND((Main!$D$14&gt;0),(I3&lt;&gt;"")),((Main!$D$14/Main!$B$11)*j_diff(Main!$D$15,C4)*Main!$B$7)/365,"")</f>
        <v/>
      </c>
    </row>
    <row r="4" spans="2:14" ht="21">
      <c r="B4" s="92">
        <f>IF(Main!$B$11&lt;&gt;"",1,"")</f>
        <v>1</v>
      </c>
      <c r="C4" s="93" t="str">
        <f>IF(Main!$D$7&lt;&gt;"",AddMonth(Main!$D$7,(Main!$B$9+Main!$B$10+(Main!$B$12/Main!$B$11))),"")</f>
        <v>1398/05/10</v>
      </c>
      <c r="D4" s="94">
        <f>IF(B4&lt;&gt;"",(Main!$D$6/Main!$B$11)+IF(Main!$D$8&gt;0,(Main!$D$8/Main!$B$11)+IF(Main!$D$10&gt;0,(Main!$D$10/Main!$B$11)+IF(Main!$D$12&gt;0,(Main!$D$12/Main!$B$11)+IF(Main!$D$14&gt;0,(Main!$D$14/Main!$B$11))))))</f>
        <v>633333333.33333325</v>
      </c>
      <c r="E4" s="95">
        <f t="shared" ref="E4:E27" si="0">IF(B4&lt;&gt;"",$H$3,"")</f>
        <v>117252968.03652966</v>
      </c>
      <c r="F4" s="96">
        <f>IF(B4&lt;&gt;"",SUM(D4:E4),"")</f>
        <v>750586301.36986291</v>
      </c>
      <c r="H4" s="97"/>
      <c r="I4" s="91">
        <f>IF(I3&lt;&gt;"",IF(Main!$B$11-I3&gt;=1,I3+1,""),"")</f>
        <v>2</v>
      </c>
      <c r="J4" s="90">
        <f>IF(AND((Main!$D$6&gt;0),(I4&lt;&gt;"")),((Main!$D$6/Main!$B$11)*j_diff(Main!$D$7,C5)*Main!$B$7)/365,"")</f>
        <v>49726027.397260271</v>
      </c>
      <c r="K4" s="90">
        <f>IF(AND((Main!$D$8&gt;0),(I4&lt;&gt;"")),((Main!$D$8/Main!$B$11)*j_diff(Main!$D$9,C5)*Main!$B$7)/365,"")</f>
        <v>34235616.438356161</v>
      </c>
      <c r="L4" s="90">
        <f>IF(AND((Main!$D$10&gt;0),(I4&lt;&gt;"")),((Main!$D$10/Main!$B$11)*j_diff(Main!$D$11,C5)*Main!$B$7)/365,"")</f>
        <v>7333333.333333333</v>
      </c>
      <c r="M4" s="90" t="str">
        <f>IF(AND((Main!$D$12&gt;0),(I4&lt;&gt;"")),((Main!$D$12/Main!$B$11)*j_diff(Main!$D$13,C5)*Main!$B$7)/365,"")</f>
        <v/>
      </c>
      <c r="N4" s="90" t="str">
        <f>IF(AND((Main!$D$14&gt;0),(I4&lt;&gt;"")),((Main!$D$14/Main!$B$11)*j_diff(Main!$D$15,C5)*Main!$B$7)/365,"")</f>
        <v/>
      </c>
    </row>
    <row r="5" spans="2:14" ht="21">
      <c r="B5" s="91">
        <f>IF(B4&lt;&gt;"",IF(Main!$B$11-B4&gt;=1,B4+1,""),"")</f>
        <v>2</v>
      </c>
      <c r="C5" s="84" t="str">
        <f>IF(C4&lt;&gt;"",IF(B5&lt;&gt;"",AddMonth(C4,(Main!$B$12/Main!$B$11)),""),"")</f>
        <v>1398/08/10</v>
      </c>
      <c r="D5" s="94">
        <f>IF(B5&lt;&gt;"",(Main!$D$6/Main!$B$11)+IF(Main!$D$8&gt;0,(Main!$D$8/Main!$B$11)+IF(Main!$D$10&gt;0,(Main!$D$10/Main!$B$11)+IF(Main!$D$12&gt;0,(Main!$D$12/Main!$B$11)+IF(Main!$D$14&gt;0,(Main!$D$14/Main!$B$11))))))</f>
        <v>633333333.33333325</v>
      </c>
      <c r="E5" s="98">
        <f t="shared" si="0"/>
        <v>117252968.03652966</v>
      </c>
      <c r="F5" s="96">
        <f t="shared" ref="F5:F27" si="1">IF(B5&lt;&gt;"",SUM(D5:E5),"")</f>
        <v>750586301.36986291</v>
      </c>
      <c r="H5" s="99"/>
      <c r="I5" s="91">
        <f>IF(I4&lt;&gt;"",IF(Main!$B$11-I4&gt;=1,I4+1,""),"")</f>
        <v>3</v>
      </c>
      <c r="J5" s="90">
        <f>IF(AND((Main!$D$6&gt;0),(I5&lt;&gt;"")),((Main!$D$6/Main!$B$11)*j_diff(Main!$D$7,C6)*Main!$B$7)/365,"")</f>
        <v>57863013.698630139</v>
      </c>
      <c r="K5" s="90">
        <f>IF(AND((Main!$D$8&gt;0),(I5&lt;&gt;"")),((Main!$D$8/Main!$B$11)*j_diff(Main!$D$9,C6)*Main!$B$7)/365,"")</f>
        <v>41468493.15068493</v>
      </c>
      <c r="L5" s="90">
        <f>IF(AND((Main!$D$10&gt;0),(I5&lt;&gt;"")),((Main!$D$10/Main!$B$11)*j_diff(Main!$D$11,C6)*Main!$B$7)/365,"")</f>
        <v>9141552.5114155244</v>
      </c>
      <c r="M5" s="90" t="str">
        <f>IF(AND((Main!$D$12&gt;0),(I5&lt;&gt;"")),((Main!$D$12/Main!$B$11)*j_diff(Main!$D$13,C6)*Main!$B$7)/365,"")</f>
        <v/>
      </c>
      <c r="N5" s="90" t="str">
        <f>IF(AND((Main!$D$14&gt;0),(I5&lt;&gt;"")),((Main!$D$14/Main!$B$11)*j_diff(Main!$D$15,C6)*Main!$B$7)/365,"")</f>
        <v/>
      </c>
    </row>
    <row r="6" spans="2:14" ht="21">
      <c r="B6" s="91">
        <f>IF(B5&lt;&gt;"",IF(Main!$B$11-B5&gt;=1,B5+1,""),"")</f>
        <v>3</v>
      </c>
      <c r="C6" s="84" t="str">
        <f>IF(C5&lt;&gt;"",IF(B6&lt;&gt;"",AddMonth(C5,(Main!$B$12/Main!$B$11)),""),"")</f>
        <v>1398/11/10</v>
      </c>
      <c r="D6" s="94">
        <f>IF(B6&lt;&gt;"",(Main!$D$6/Main!$B$11)+IF(Main!$D$8&gt;0,(Main!$D$8/Main!$B$11)+IF(Main!$D$10&gt;0,(Main!$D$10/Main!$B$11)+IF(Main!$D$12&gt;0,(Main!$D$12/Main!$B$11)+IF(Main!$D$14&gt;0,(Main!$D$14/Main!$B$11))))))</f>
        <v>633333333.33333325</v>
      </c>
      <c r="E6" s="98">
        <f t="shared" si="0"/>
        <v>117252968.03652966</v>
      </c>
      <c r="F6" s="96">
        <f t="shared" si="1"/>
        <v>750586301.36986291</v>
      </c>
      <c r="H6" s="80"/>
      <c r="I6" s="91">
        <f>IF(I5&lt;&gt;"",IF(Main!$B$11-I5&gt;=1,I5+1,""),"")</f>
        <v>4</v>
      </c>
      <c r="J6" s="90">
        <f>IF(AND((Main!$D$6&gt;0),(I6&lt;&gt;"")),((Main!$D$6/Main!$B$11)*j_diff(Main!$D$7,C7)*Main!$B$7)/365,"")</f>
        <v>66000000</v>
      </c>
      <c r="K6" s="90">
        <f>IF(AND((Main!$D$8&gt;0),(I6&lt;&gt;"")),((Main!$D$8/Main!$B$11)*j_diff(Main!$D$9,C7)*Main!$B$7)/365,"")</f>
        <v>48701369.8630137</v>
      </c>
      <c r="L6" s="90">
        <f>IF(AND((Main!$D$10&gt;0),(I6&lt;&gt;"")),((Main!$D$10/Main!$B$11)*j_diff(Main!$D$11,C7)*Main!$B$7)/365,"")</f>
        <v>10949771.689497715</v>
      </c>
      <c r="M6" s="90" t="str">
        <f>IF(AND((Main!$D$12&gt;0),(I6&lt;&gt;"")),((Main!$D$12/Main!$B$11)*j_diff(Main!$D$13,C7)*Main!$B$7)/365,"")</f>
        <v/>
      </c>
      <c r="N6" s="90" t="str">
        <f>IF(AND((Main!$D$14&gt;0),(I6&lt;&gt;"")),((Main!$D$14/Main!$B$11)*j_diff(Main!$D$15,C7)*Main!$B$7)/365,"")</f>
        <v/>
      </c>
    </row>
    <row r="7" spans="2:14" ht="21">
      <c r="B7" s="91">
        <f>IF(B6&lt;&gt;"",IF(Main!$B$11-B6&gt;=1,B6+1,""),"")</f>
        <v>4</v>
      </c>
      <c r="C7" s="84" t="str">
        <f>IF(C6&lt;&gt;"",IF(B7&lt;&gt;"",AddMonth(C6,(Main!$B$12/Main!$B$11)),""),"")</f>
        <v>1399/02/10</v>
      </c>
      <c r="D7" s="94">
        <f>IF(B7&lt;&gt;"",(Main!$D$6/Main!$B$11)+IF(Main!$D$8&gt;0,(Main!$D$8/Main!$B$11)+IF(Main!$D$10&gt;0,(Main!$D$10/Main!$B$11)+IF(Main!$D$12&gt;0,(Main!$D$12/Main!$B$11)+IF(Main!$D$14&gt;0,(Main!$D$14/Main!$B$11))))))</f>
        <v>633333333.33333325</v>
      </c>
      <c r="E7" s="98">
        <f t="shared" si="0"/>
        <v>117252968.03652966</v>
      </c>
      <c r="F7" s="96">
        <f t="shared" si="1"/>
        <v>750586301.36986291</v>
      </c>
      <c r="H7" s="80"/>
      <c r="I7" s="91">
        <f>IF(I6&lt;&gt;"",IF(Main!$B$11-I6&gt;=1,I6+1,""),"")</f>
        <v>5</v>
      </c>
      <c r="J7" s="90">
        <f>IF(AND((Main!$D$6&gt;0),(I7&lt;&gt;"")),((Main!$D$6/Main!$B$11)*j_diff(Main!$D$7,C8)*Main!$B$7)/365,"")</f>
        <v>74408219.178082198</v>
      </c>
      <c r="K7" s="90">
        <f>IF(AND((Main!$D$8&gt;0),(I7&lt;&gt;"")),((Main!$D$8/Main!$B$11)*j_diff(Main!$D$9,C8)*Main!$B$7)/365,"")</f>
        <v>56175342.465753421</v>
      </c>
      <c r="L7" s="90">
        <f>IF(AND((Main!$D$10&gt;0),(I7&lt;&gt;"")),((Main!$D$10/Main!$B$11)*j_diff(Main!$D$11,C8)*Main!$B$7)/365,"")</f>
        <v>12818264.840182647</v>
      </c>
      <c r="M7" s="90" t="str">
        <f>IF(AND((Main!$D$12&gt;0),(I7&lt;&gt;"")),((Main!$D$12/Main!$B$11)*j_diff(Main!$D$13,C8)*Main!$B$7)/365,"")</f>
        <v/>
      </c>
      <c r="N7" s="90" t="str">
        <f>IF(AND((Main!$D$14&gt;0),(I7&lt;&gt;"")),((Main!$D$14/Main!$B$11)*j_diff(Main!$D$15,C8)*Main!$B$7)/365,"")</f>
        <v/>
      </c>
    </row>
    <row r="8" spans="2:14" ht="21">
      <c r="B8" s="91">
        <f>IF(B7&lt;&gt;"",IF(Main!$B$11-B7&gt;=1,B7+1,""),"")</f>
        <v>5</v>
      </c>
      <c r="C8" s="84" t="str">
        <f>IF(C7&lt;&gt;"",IF(B8&lt;&gt;"",AddMonth(C7,(Main!$B$12/Main!$B$11)),""),"")</f>
        <v>1399/05/10</v>
      </c>
      <c r="D8" s="94">
        <f>IF(B8&lt;&gt;"",(Main!$D$6/Main!$B$11)+IF(Main!$D$8&gt;0,(Main!$D$8/Main!$B$11)+IF(Main!$D$10&gt;0,(Main!$D$10/Main!$B$11)+IF(Main!$D$12&gt;0,(Main!$D$12/Main!$B$11)+IF(Main!$D$14&gt;0,(Main!$D$14/Main!$B$11))))))</f>
        <v>633333333.33333325</v>
      </c>
      <c r="E8" s="98">
        <f t="shared" si="0"/>
        <v>117252968.03652966</v>
      </c>
      <c r="F8" s="96">
        <f t="shared" si="1"/>
        <v>750586301.36986291</v>
      </c>
      <c r="H8" s="80"/>
      <c r="I8" s="91">
        <f>IF(I7&lt;&gt;"",IF(Main!$B$11-I7&gt;=1,I7+1,""),"")</f>
        <v>6</v>
      </c>
      <c r="J8" s="90">
        <f>IF(AND((Main!$D$6&gt;0),(I8&lt;&gt;"")),((Main!$D$6/Main!$B$11)*j_diff(Main!$D$7,C9)*Main!$B$7)/365,"")</f>
        <v>82726027.397260278</v>
      </c>
      <c r="K8" s="90">
        <f>IF(AND((Main!$D$8&gt;0),(I8&lt;&gt;"")),((Main!$D$8/Main!$B$11)*j_diff(Main!$D$9,C9)*Main!$B$7)/365,"")</f>
        <v>63568949.771689489</v>
      </c>
      <c r="L8" s="90">
        <f>IF(AND((Main!$D$10&gt;0),(I8&lt;&gt;"")),((Main!$D$10/Main!$B$11)*j_diff(Main!$D$11,C9)*Main!$B$7)/365,"")</f>
        <v>14666666.666666666</v>
      </c>
      <c r="M8" s="90" t="str">
        <f>IF(AND((Main!$D$12&gt;0),(I8&lt;&gt;"")),((Main!$D$12/Main!$B$11)*j_diff(Main!$D$13,C9)*Main!$B$7)/365,"")</f>
        <v/>
      </c>
      <c r="N8" s="90" t="str">
        <f>IF(AND((Main!$D$14&gt;0),(I8&lt;&gt;"")),((Main!$D$14/Main!$B$11)*j_diff(Main!$D$15,C9)*Main!$B$7)/365,"")</f>
        <v/>
      </c>
    </row>
    <row r="9" spans="2:14" ht="21">
      <c r="B9" s="91">
        <f>IF(B8&lt;&gt;"",IF(Main!$B$11-B8&gt;=1,B8+1,""),"")</f>
        <v>6</v>
      </c>
      <c r="C9" s="84" t="str">
        <f>IF(C8&lt;&gt;"",IF(B9&lt;&gt;"",AddMonth(C8,(Main!$B$12/Main!$B$11)),""),"")</f>
        <v>1399/08/10</v>
      </c>
      <c r="D9" s="94">
        <f>IF(B9&lt;&gt;"",(Main!$D$6/Main!$B$11)+IF(Main!$D$8&gt;0,(Main!$D$8/Main!$B$11)+IF(Main!$D$10&gt;0,(Main!$D$10/Main!$B$11)+IF(Main!$D$12&gt;0,(Main!$D$12/Main!$B$11)+IF(Main!$D$14&gt;0,(Main!$D$14/Main!$B$11))))))</f>
        <v>633333333.33333325</v>
      </c>
      <c r="E9" s="98">
        <f t="shared" si="0"/>
        <v>117252968.03652966</v>
      </c>
      <c r="F9" s="96">
        <f t="shared" si="1"/>
        <v>750586301.36986291</v>
      </c>
      <c r="H9" s="97"/>
      <c r="I9" s="91" t="str">
        <f>IF(I8&lt;&gt;"",IF(Main!$B$11-I8&gt;=1,I8+1,""),"")</f>
        <v/>
      </c>
      <c r="J9" s="90" t="str">
        <f>IF(AND((Main!$D$6&gt;0),(I9&lt;&gt;"")),((Main!$D$6/Main!$B$11)*j_diff(Main!$D$7,C10)*Main!$B$7)/365,"")</f>
        <v/>
      </c>
      <c r="K9" s="90" t="str">
        <f>IF(AND((Main!$D$8&gt;0),(I9&lt;&gt;"")),((Main!$D$8/Main!$B$11)*j_diff(Main!$D$9,C10)*Main!$B$7)/365,"")</f>
        <v/>
      </c>
      <c r="L9" s="90" t="str">
        <f>IF(AND((Main!$D$10&gt;0),(I9&lt;&gt;"")),((Main!$D$10/Main!$B$11)*j_diff(Main!$D$11,C10)*Main!$B$7)/365,"")</f>
        <v/>
      </c>
      <c r="M9" s="90" t="str">
        <f>IF(AND((Main!$D$12&gt;0),(I9&lt;&gt;"")),((Main!$D$12/Main!$B$11)*j_diff(Main!$D$13,C10)*Main!$B$7)/365,"")</f>
        <v/>
      </c>
      <c r="N9" s="90" t="str">
        <f>IF(AND((Main!$D$14&gt;0),(I9&lt;&gt;"")),((Main!$D$14/Main!$B$11)*j_diff(Main!$D$15,C10)*Main!$B$7)/365,"")</f>
        <v/>
      </c>
    </row>
    <row r="10" spans="2:14" ht="21">
      <c r="B10" s="91" t="str">
        <f>IF(B9&lt;&gt;"",IF(Main!$B$11-B9&gt;=1,B9+1,""),"")</f>
        <v/>
      </c>
      <c r="C10" s="84" t="str">
        <f>IF(C9&lt;&gt;"",IF(B10&lt;&gt;"",AddMonth(C9,(Main!$B$12/Main!$B$11)),""),"")</f>
        <v/>
      </c>
      <c r="D10" s="94" t="b">
        <f>IF(B10&lt;&gt;"",(Main!$D$6/Main!$B$11)+IF(Main!$D$8&gt;0,(Main!$D$8/Main!$B$11)+IF(Main!$D$10&gt;0,(Main!$D$10/Main!$B$11)+IF(Main!$D$12&gt;0,(Main!$D$12/Main!$B$11)+IF(Main!$D$14&gt;0,(Main!$D$14/Main!$B$11))))))</f>
        <v>0</v>
      </c>
      <c r="E10" s="98" t="str">
        <f t="shared" si="0"/>
        <v/>
      </c>
      <c r="F10" s="96" t="str">
        <f t="shared" si="1"/>
        <v/>
      </c>
      <c r="H10" s="97"/>
      <c r="I10" s="91" t="str">
        <f>IF(I9&lt;&gt;"",IF(Main!$B$11-I9&gt;=1,I9+1,""),"")</f>
        <v/>
      </c>
      <c r="J10" s="90" t="str">
        <f>IF(AND((Main!$D$6&gt;0),(I10&lt;&gt;"")),((Main!$D$6/Main!$B$11)*j_diff(Main!$D$7,C11)*Main!$B$7)/365,"")</f>
        <v/>
      </c>
      <c r="K10" s="90" t="str">
        <f>IF(AND((Main!$D$8&gt;0),(I10&lt;&gt;"")),((Main!$D$8/Main!$B$11)*j_diff(Main!$D$9,C11)*Main!$B$7)/365,"")</f>
        <v/>
      </c>
      <c r="L10" s="90" t="str">
        <f>IF(AND((Main!$D$10&gt;0),(I10&lt;&gt;"")),((Main!$D$10/Main!$B$11)*j_diff(Main!$D$11,C11)*Main!$B$7)/365,"")</f>
        <v/>
      </c>
      <c r="M10" s="90" t="str">
        <f>IF(AND((Main!$D$12&gt;0),(I10&lt;&gt;"")),((Main!$D$12/Main!$B$11)*j_diff(Main!$D$13,C11)*Main!$B$7)/365,"")</f>
        <v/>
      </c>
      <c r="N10" s="90" t="str">
        <f>IF(AND((Main!$D$14&gt;0),(I10&lt;&gt;"")),((Main!$D$14/Main!$B$11)*j_diff(Main!$D$15,C11)*Main!$B$7)/365,"")</f>
        <v/>
      </c>
    </row>
    <row r="11" spans="2:14" ht="21">
      <c r="B11" s="91" t="str">
        <f>IF(B10&lt;&gt;"",IF(Main!$B$11-B10&gt;=1,B10+1,""),"")</f>
        <v/>
      </c>
      <c r="C11" s="84" t="str">
        <f>IF(C10&lt;&gt;"",IF(B11&lt;&gt;"",AddMonth(C10,(Main!$B$12/Main!$B$11)),""),"")</f>
        <v/>
      </c>
      <c r="D11" s="94" t="b">
        <f>IF(B11&lt;&gt;"",(Main!$D$6/Main!$B$11)+IF(Main!$D$8&gt;0,(Main!$D$8/Main!$B$11)+IF(Main!$D$10&gt;0,(Main!$D$10/Main!$B$11)+IF(Main!$D$12&gt;0,(Main!$D$12/Main!$B$11)+IF(Main!$D$14&gt;0,(Main!$D$14/Main!$B$11))))))</f>
        <v>0</v>
      </c>
      <c r="E11" s="98" t="str">
        <f t="shared" si="0"/>
        <v/>
      </c>
      <c r="F11" s="96" t="str">
        <f t="shared" si="1"/>
        <v/>
      </c>
      <c r="H11" s="97"/>
      <c r="I11" s="91" t="str">
        <f>IF(I10&lt;&gt;"",IF(Main!$B$11-I10&gt;=1,I10+1,""),"")</f>
        <v/>
      </c>
      <c r="J11" s="90" t="str">
        <f>IF(AND((Main!$D$6&gt;0),(I11&lt;&gt;"")),((Main!$D$6/Main!$B$11)*j_diff(Main!$D$7,C12)*Main!$B$7)/365,"")</f>
        <v/>
      </c>
      <c r="K11" s="90" t="str">
        <f>IF(AND((Main!$D$8&gt;0),(I11&lt;&gt;"")),((Main!$D$8/Main!$B$11)*j_diff(Main!$D$9,C12)*Main!$B$7)/365,"")</f>
        <v/>
      </c>
      <c r="L11" s="90" t="str">
        <f>IF(AND((Main!$D$10&gt;0),(I11&lt;&gt;"")),((Main!$D$10/Main!$B$11)*j_diff(Main!$D$11,C12)*Main!$B$7)/365,"")</f>
        <v/>
      </c>
      <c r="M11" s="90" t="str">
        <f>IF(AND((Main!$D$12&gt;0),(I11&lt;&gt;"")),((Main!$D$12/Main!$B$11)*j_diff(Main!$D$13,C12)*Main!$B$7)/365,"")</f>
        <v/>
      </c>
      <c r="N11" s="90" t="str">
        <f>IF(AND((Main!$D$14&gt;0),(I11&lt;&gt;"")),((Main!$D$14/Main!$B$11)*j_diff(Main!$D$15,C12)*Main!$B$7)/365,"")</f>
        <v/>
      </c>
    </row>
    <row r="12" spans="2:14" ht="21">
      <c r="B12" s="91" t="str">
        <f>IF(B11&lt;&gt;"",IF(Main!$B$11-B11&gt;=1,B11+1,""),"")</f>
        <v/>
      </c>
      <c r="C12" s="84" t="str">
        <f>IF(C11&lt;&gt;"",IF(B12&lt;&gt;"",AddMonth(C11,(Main!$B$12/Main!$B$11)),""),"")</f>
        <v/>
      </c>
      <c r="D12" s="94" t="str">
        <f>IF(B12&lt;&gt;"",(Main!$D$6/Main!$B$11)+IF(Main!$D$8&gt;0,(Main!$D$8/Main!$B$11)+IF(Main!$D$10&gt;0,(Main!$D$10/Main!$B$11)+IF(Main!$D$12&gt;0,(Main!$D$12/Main!$B$11)+IF(Main!$D$14&gt;0,(Main!$D$14/Main!$B$11))))),"")</f>
        <v/>
      </c>
      <c r="E12" s="98" t="str">
        <f t="shared" si="0"/>
        <v/>
      </c>
      <c r="F12" s="96" t="str">
        <f t="shared" si="1"/>
        <v/>
      </c>
      <c r="H12" s="97"/>
      <c r="I12" s="91" t="str">
        <f>IF(I11&lt;&gt;"",IF(Main!$B$11-I11&gt;=1,I11+1,""),"")</f>
        <v/>
      </c>
      <c r="J12" s="90" t="str">
        <f>IF(AND((Main!$D$6&gt;0),(I12&lt;&gt;"")),((Main!$D$6/Main!$B$11)*j_diff(Main!$D$7,C13)*Main!$B$7)/365,"")</f>
        <v/>
      </c>
      <c r="K12" s="90" t="str">
        <f>IF(AND((Main!$D$8&gt;0),(I12&lt;&gt;"")),((Main!$D$8/Main!$B$11)*j_diff(Main!$D$9,C13)*Main!$B$7)/365,"")</f>
        <v/>
      </c>
      <c r="L12" s="90" t="str">
        <f>IF(AND((Main!$D$10&gt;0),(I12&lt;&gt;"")),((Main!$D$10/Main!$B$11)*j_diff(Main!$D$11,C13)*Main!$B$7)/365,"")</f>
        <v/>
      </c>
      <c r="M12" s="90" t="str">
        <f>IF(AND((Main!$D$12&gt;0),(I12&lt;&gt;"")),((Main!$D$12/Main!$B$11)*j_diff(Main!$D$13,C13)*Main!$B$7)/365,"")</f>
        <v/>
      </c>
      <c r="N12" s="90" t="str">
        <f>IF(AND((Main!$D$14&gt;0),(I12&lt;&gt;"")),((Main!$D$14/Main!$B$11)*j_diff(Main!$D$15,C13)*Main!$B$7)/365,"")</f>
        <v/>
      </c>
    </row>
    <row r="13" spans="2:14" ht="21">
      <c r="B13" s="91" t="str">
        <f>IF(B12&lt;&gt;"",IF(Main!$B$11-B12&gt;=1,B12+1,""),"")</f>
        <v/>
      </c>
      <c r="C13" s="84" t="str">
        <f>IF(C12&lt;&gt;"",IF(B13&lt;&gt;"",AddMonth(C12,(Main!$B$12/Main!$B$11)),""),"")</f>
        <v/>
      </c>
      <c r="D13" s="94" t="b">
        <f>IF(B13&lt;&gt;"",(Main!$D$6/Main!$B$11)+IF(Main!$D$8&gt;0,(Main!$D$8/Main!$B$11)+IF(Main!$D$10&gt;0,(Main!$D$10/Main!$B$11)+IF(Main!$D$12&gt;0,(Main!$D$12/Main!$B$11)+IF(Main!$D$14&gt;0,(Main!$D$14/Main!$B$11))),"")))</f>
        <v>0</v>
      </c>
      <c r="E13" s="98" t="str">
        <f t="shared" si="0"/>
        <v/>
      </c>
      <c r="F13" s="96" t="str">
        <f t="shared" si="1"/>
        <v/>
      </c>
      <c r="H13" s="97"/>
      <c r="I13" s="91" t="str">
        <f>IF(I12&lt;&gt;"",IF(Main!$B$11-I12&gt;=1,I12+1,""),"")</f>
        <v/>
      </c>
      <c r="J13" s="90" t="str">
        <f>IF(AND((Main!$D$6&gt;0),(I13&lt;&gt;"")),((Main!$D$6/Main!$B$11)*j_diff(Main!$D$7,C14)*Main!$B$7)/365,"")</f>
        <v/>
      </c>
      <c r="K13" s="90" t="str">
        <f>IF(AND((Main!$D$8&gt;0),(I13&lt;&gt;"")),((Main!$D$8/Main!$B$11)*j_diff(Main!$D$9,C14)*Main!$B$7)/365,"")</f>
        <v/>
      </c>
      <c r="L13" s="90" t="str">
        <f>IF(AND((Main!$D$10&gt;0),(I13&lt;&gt;"")),((Main!$D$10/Main!$B$11)*j_diff(Main!$D$11,C14)*Main!$B$7)/365,"")</f>
        <v/>
      </c>
      <c r="M13" s="90" t="str">
        <f>IF(AND((Main!$D$12&gt;0),(I13&lt;&gt;"")),((Main!$D$12/Main!$B$11)*j_diff(Main!$D$13,C14)*Main!$B$7)/365,"")</f>
        <v/>
      </c>
      <c r="N13" s="90" t="str">
        <f>IF(AND((Main!$D$14&gt;0),(I13&lt;&gt;"")),((Main!$D$14/Main!$B$11)*j_diff(Main!$D$15,C14)*Main!$B$7)/365,"")</f>
        <v/>
      </c>
    </row>
    <row r="14" spans="2:14" ht="21">
      <c r="B14" s="91" t="str">
        <f>IF(B13&lt;&gt;"",IF(Main!$B$11-B13&gt;=1,B13+1,""),"")</f>
        <v/>
      </c>
      <c r="C14" s="84" t="str">
        <f>IF(C13&lt;&gt;"",IF(B14&lt;&gt;"",AddMonth(C13,(Main!$B$12/Main!$B$11)),""),"")</f>
        <v/>
      </c>
      <c r="D14" s="94" t="b">
        <f>IF(B14&lt;&gt;"",(Main!$D$6/Main!$B$11)+IF(Main!$D$8&gt;0,(Main!$D$8/Main!$B$11)+IF(Main!$D$10&gt;0,(Main!$D$10/Main!$B$11)+IF(Main!$D$12&gt;0,(Main!$D$12/Main!$B$11)+IF(Main!$D$14&gt;0,(Main!$D$14/Main!$B$11)))*IFERROR(0,""))))</f>
        <v>0</v>
      </c>
      <c r="E14" s="98" t="str">
        <f t="shared" si="0"/>
        <v/>
      </c>
      <c r="F14" s="96" t="str">
        <f t="shared" si="1"/>
        <v/>
      </c>
      <c r="H14" s="97"/>
      <c r="I14" s="91" t="str">
        <f>IF(I13&lt;&gt;"",IF(Main!$B$11-I13&gt;=1,I13+1,""),"")</f>
        <v/>
      </c>
      <c r="J14" s="90" t="str">
        <f>IF(AND((Main!$D$6&gt;0),(I14&lt;&gt;"")),((Main!$D$6/Main!$B$11)*j_diff(Main!$D$7,C15)*Main!$B$7)/365,"")</f>
        <v/>
      </c>
      <c r="K14" s="90" t="str">
        <f>IF(AND((Main!$D$8&gt;0),(I14&lt;&gt;"")),((Main!$D$8/Main!$B$11)*j_diff(Main!$D$9,C15)*Main!$B$7)/365,"")</f>
        <v/>
      </c>
      <c r="L14" s="90" t="str">
        <f>IF(AND((Main!$D$10&gt;0),(I14&lt;&gt;"")),((Main!$D$10/Main!$B$11)*j_diff(Main!$D$11,C15)*Main!$B$7)/365,"")</f>
        <v/>
      </c>
      <c r="M14" s="90" t="str">
        <f>IF(AND((Main!$D$12&gt;0),(I14&lt;&gt;"")),((Main!$D$12/Main!$B$11)*j_diff(Main!$D$13,C15)*Main!$B$7)/365,"")</f>
        <v/>
      </c>
      <c r="N14" s="90" t="str">
        <f>IF(AND((Main!$D$14&gt;0),(I14&lt;&gt;"")),((Main!$D$14/Main!$B$11)*j_diff(Main!$D$15,C15)*Main!$B$7)/365,"")</f>
        <v/>
      </c>
    </row>
    <row r="15" spans="2:14" ht="21">
      <c r="B15" s="91" t="str">
        <f>IF(B14&lt;&gt;"",IF(Main!$B$11-B14&gt;=1,B14+1,""),"")</f>
        <v/>
      </c>
      <c r="C15" s="84" t="str">
        <f>IF(C14&lt;&gt;"",IF(B15&lt;&gt;"",AddMonth(C14,(Main!$B$12/Main!$B$11)),""),"")</f>
        <v/>
      </c>
      <c r="D15" s="94">
        <f>IF(B15&lt;&gt;"",(Main!$D$6/Main!$B$11)+IF(Main!$D$8&gt;0,(Main!$D$8/Main!$B$11)+IF(Main!$D$10&gt;0,(Main!$D$10/Main!$B$11)+IF(Main!$D$12&gt;0,(Main!$D$12/Main!$B$11)+IF(Main!$D$14&gt;0,(Main!$D$14/Main!$B$11))),IFERROR(0,""))),IFERROR(0,""))</f>
        <v>0</v>
      </c>
      <c r="E15" s="98" t="str">
        <f t="shared" si="0"/>
        <v/>
      </c>
      <c r="F15" s="96" t="str">
        <f t="shared" si="1"/>
        <v/>
      </c>
      <c r="H15" s="97"/>
      <c r="I15" s="91" t="str">
        <f>IF(I14&lt;&gt;"",IF(Main!$B$11-I14&gt;=1,I14+1,""),"")</f>
        <v/>
      </c>
      <c r="J15" s="90" t="str">
        <f>IF(AND((Main!$D$6&gt;0),(I15&lt;&gt;"")),((Main!$D$6/Main!$B$11)*j_diff(Main!$D$7,C16)*Main!$B$7)/365,"")</f>
        <v/>
      </c>
      <c r="K15" s="90" t="str">
        <f>IF(AND((Main!$D$8&gt;0),(I15&lt;&gt;"")),((Main!$D$8/Main!$B$11)*j_diff(Main!$D$9,C16)*Main!$B$7)/365,"")</f>
        <v/>
      </c>
      <c r="L15" s="90" t="str">
        <f>IF(AND((Main!$D$10&gt;0),(I15&lt;&gt;"")),((Main!$D$10/Main!$B$11)*j_diff(Main!$D$11,C16)*Main!$B$7)/365,"")</f>
        <v/>
      </c>
      <c r="M15" s="90" t="str">
        <f>IF(AND((Main!$D$12&gt;0),(I15&lt;&gt;"")),((Main!$D$12/Main!$B$11)*j_diff(Main!$D$13,C16)*Main!$B$7)/365,"")</f>
        <v/>
      </c>
      <c r="N15" s="90" t="str">
        <f>IF(AND((Main!$D$14&gt;0),(I15&lt;&gt;"")),((Main!$D$14/Main!$B$11)*j_diff(Main!$D$15,C16)*Main!$B$7)/365,"")</f>
        <v/>
      </c>
    </row>
    <row r="16" spans="2:14" ht="21">
      <c r="B16" s="91" t="str">
        <f>IF(B15&lt;&gt;"",IF(Main!$B$11-B15&gt;=1,B15+1,""),"")</f>
        <v/>
      </c>
      <c r="C16" s="84" t="str">
        <f>IF(C15&lt;&gt;"",IF(B16&lt;&gt;"",AddMonth(C15,(Main!$B$12/Main!$B$11)),""),"")</f>
        <v/>
      </c>
      <c r="D16" s="94" t="str">
        <f>IF(B16&lt;&gt;"",(Main!$D$6/Main!$B$11)+IF(Main!$D$8&gt;0,(Main!$D$8/Main!$B$11)+IF(Main!$D$10&gt;0,(Main!$D$10/Main!$B$11)+IF(Main!$D$12&gt;0,(Main!$D$12/Main!$B$11)+IF(Main!$D$14&gt;0,(Main!$D$14/Main!$B$11))))),"")</f>
        <v/>
      </c>
      <c r="E16" s="98" t="str">
        <f t="shared" si="0"/>
        <v/>
      </c>
      <c r="F16" s="96" t="str">
        <f t="shared" si="1"/>
        <v/>
      </c>
      <c r="H16" s="97">
        <f>IFERROR(0,"")</f>
        <v>0</v>
      </c>
      <c r="I16" s="91" t="str">
        <f>IF(I15&lt;&gt;"",IF(Main!$B$11-I15&gt;=1,I15+1,""),"")</f>
        <v/>
      </c>
      <c r="J16" s="90" t="str">
        <f>IF(AND((Main!$D$6&gt;0),(I16&lt;&gt;"")),((Main!$D$6/Main!$B$11)*j_diff(Main!$D$7,C17)*Main!$B$7)/365,"")</f>
        <v/>
      </c>
      <c r="K16" s="90" t="str">
        <f>IF(AND((Main!$D$8&gt;0),(I16&lt;&gt;"")),((Main!$D$8/Main!$B$11)*j_diff(Main!$D$9,C17)*Main!$B$7)/365,"")</f>
        <v/>
      </c>
      <c r="L16" s="90" t="str">
        <f>IF(AND((Main!$D$10&gt;0),(I16&lt;&gt;"")),((Main!$D$10/Main!$B$11)*j_diff(Main!$D$11,C17)*Main!$B$7)/365,"")</f>
        <v/>
      </c>
      <c r="M16" s="90" t="str">
        <f>IF(AND((Main!$D$12&gt;0),(I16&lt;&gt;"")),((Main!$D$12/Main!$B$11)*j_diff(Main!$D$13,C17)*Main!$B$7)/365,"")</f>
        <v/>
      </c>
      <c r="N16" s="90" t="str">
        <f>IF(AND((Main!$D$14&gt;0),(I16&lt;&gt;"")),((Main!$D$14/Main!$B$11)*j_diff(Main!$D$15,C17)*Main!$B$7)/365,"")</f>
        <v/>
      </c>
    </row>
    <row r="17" spans="2:14" ht="21">
      <c r="B17" s="91" t="str">
        <f>IF(B16&lt;&gt;"",IF(Main!$B$11-B16&gt;=1,B16+1,""),"")</f>
        <v/>
      </c>
      <c r="C17" s="84" t="str">
        <f>IF(C16&lt;&gt;"",IF(B17&lt;&gt;"",AddMonth(C16,(Main!$B$12/Main!$B$11)),""),"")</f>
        <v/>
      </c>
      <c r="D17" s="94" t="b">
        <f>IF(B17&lt;&gt;"",(Main!$D$6/Main!$B$11)+IF(Main!$D$8&gt;0,(Main!$D$8/Main!$B$11)+IF(Main!$D$10&gt;0,(Main!$D$10/Main!$B$11)+IF(Main!$D$12&gt;0,(Main!$D$12/Main!$B$11)+IF(Main!$D$14&gt;0,(Main!$D$14/Main!$B$11))))))</f>
        <v>0</v>
      </c>
      <c r="E17" s="98" t="str">
        <f t="shared" si="0"/>
        <v/>
      </c>
      <c r="F17" s="96" t="str">
        <f t="shared" si="1"/>
        <v/>
      </c>
      <c r="H17" s="80"/>
      <c r="I17" s="91" t="str">
        <f>IF(I16&lt;&gt;"",IF(Main!$B$11-I16&gt;=1,I16+1,""),"")</f>
        <v/>
      </c>
      <c r="J17" s="90" t="str">
        <f>IF(AND((Main!$D$6&gt;0),(I17&lt;&gt;"")),((Main!$D$6/Main!$B$11)*j_diff(Main!$D$7,C18)*Main!$B$7)/365,"")</f>
        <v/>
      </c>
      <c r="K17" s="90" t="str">
        <f>IF(AND((Main!$D$8&gt;0),(I17&lt;&gt;"")),((Main!$D$8/Main!$B$11)*j_diff(Main!$D$9,C18)*Main!$B$7)/365,"")</f>
        <v/>
      </c>
      <c r="L17" s="90" t="str">
        <f>IF(AND((Main!$D$10&gt;0),(I17&lt;&gt;"")),((Main!$D$10/Main!$B$11)*j_diff(Main!$D$11,C18)*Main!$B$7)/365,"")</f>
        <v/>
      </c>
      <c r="M17" s="90" t="str">
        <f>IF(AND((Main!$D$12&gt;0),(I17&lt;&gt;"")),((Main!$D$12/Main!$B$11)*j_diff(Main!$D$13,C18)*Main!$B$7)/365,"")</f>
        <v/>
      </c>
      <c r="N17" s="90" t="str">
        <f>IF(AND((Main!$D$14&gt;0),(I17&lt;&gt;"")),((Main!$D$14/Main!$B$11)*j_diff(Main!$D$15,C18)*Main!$B$7)/365,"")</f>
        <v/>
      </c>
    </row>
    <row r="18" spans="2:14" ht="21">
      <c r="B18" s="91" t="str">
        <f>IF(B17&lt;&gt;"",IF(Main!$B$11-B17&gt;=1,B17+1,""),"")</f>
        <v/>
      </c>
      <c r="C18" s="84" t="str">
        <f>IF(C17&lt;&gt;"",IF(B18&lt;&gt;"",AddMonth(C17,(Main!$B$12/Main!$B$11)),""),"")</f>
        <v/>
      </c>
      <c r="D18" s="94" t="b">
        <f>IF(B18&lt;&gt;"",(Main!$D$6/Main!$B$11)+IF(Main!$D$8&gt;0,(Main!$D$8/Main!$B$11)+IF(Main!$D$10&gt;0,(Main!$D$10/Main!$B$11)+IF(Main!$D$12&gt;0,(Main!$D$12/Main!$B$11)+IF(Main!$D$14&gt;0,(Main!$D$14/Main!$B$11))))))</f>
        <v>0</v>
      </c>
      <c r="E18" s="98" t="str">
        <f t="shared" si="0"/>
        <v/>
      </c>
      <c r="F18" s="96" t="str">
        <f t="shared" si="1"/>
        <v/>
      </c>
      <c r="H18" s="80"/>
      <c r="I18" s="91" t="str">
        <f>IF(I17&lt;&gt;"",IF(Main!$B$11-I17&gt;=1,I17+1,""),"")</f>
        <v/>
      </c>
      <c r="J18" s="90" t="str">
        <f>IF(AND((Main!$D$6&gt;0),(I18&lt;&gt;"")),((Main!$D$6/Main!$B$11)*j_diff(Main!$D$7,C19)*Main!$B$7)/365,"")</f>
        <v/>
      </c>
      <c r="K18" s="90" t="str">
        <f>IF(AND((Main!$D$8&gt;0),(I18&lt;&gt;"")),((Main!$D$8/Main!$B$11)*j_diff(Main!$D$9,C19)*Main!$B$7)/365,"")</f>
        <v/>
      </c>
      <c r="L18" s="90" t="str">
        <f>IF(AND((Main!$D$10&gt;0),(I18&lt;&gt;"")),((Main!$D$10/Main!$B$11)*j_diff(Main!$D$11,C19)*Main!$B$7)/365,"")</f>
        <v/>
      </c>
      <c r="M18" s="90" t="str">
        <f>IF(AND((Main!$D$12&gt;0),(I18&lt;&gt;"")),((Main!$D$12/Main!$B$11)*j_diff(Main!$D$13,C19)*Main!$B$7)/365,"")</f>
        <v/>
      </c>
      <c r="N18" s="90" t="str">
        <f>IF(AND((Main!$D$14&gt;0),(I18&lt;&gt;"")),((Main!$D$14/Main!$B$11)*j_diff(Main!$D$15,C19)*Main!$B$7)/365,"")</f>
        <v/>
      </c>
    </row>
    <row r="19" spans="2:14" ht="21">
      <c r="B19" s="91" t="str">
        <f>IF(B18&lt;&gt;"",IF(Main!$B$11-B18&gt;=1,B18+1,""),"")</f>
        <v/>
      </c>
      <c r="C19" s="84" t="str">
        <f>IF(C18&lt;&gt;"",IF(B19&lt;&gt;"",AddMonth(C18,(Main!$B$12/Main!$B$11)),""),"")</f>
        <v/>
      </c>
      <c r="D19" s="94" t="b">
        <f>IF(B19&lt;&gt;"",(Main!$D$6/Main!$B$11)+IF(Main!$D$8&gt;0,(Main!$D$8/Main!$B$11)+IF(Main!$D$10&gt;0,(Main!$D$10/Main!$B$11)+IF(Main!$D$12&gt;0,(Main!$D$12/Main!$B$11)+IF(Main!$D$14&gt;0,(Main!$D$14/Main!$B$11))))))</f>
        <v>0</v>
      </c>
      <c r="E19" s="98" t="str">
        <f t="shared" si="0"/>
        <v/>
      </c>
      <c r="F19" s="96" t="str">
        <f t="shared" si="1"/>
        <v/>
      </c>
      <c r="H19" s="80"/>
      <c r="I19" s="91" t="str">
        <f>IF(I18&lt;&gt;"",IF(Main!$B$11-I18&gt;=1,I18+1,""),"")</f>
        <v/>
      </c>
      <c r="J19" s="90" t="str">
        <f>IF(AND((Main!$D$6&gt;0),(I19&lt;&gt;"")),((Main!$D$6/Main!$B$11)*j_diff(Main!$D$7,C20)*Main!$B$7)/365,"")</f>
        <v/>
      </c>
      <c r="K19" s="90" t="str">
        <f>IF(AND((Main!$D$8&gt;0),(I19&lt;&gt;"")),((Main!$D$8/Main!$B$11)*j_diff(Main!$D$9,C20)*Main!$B$7)/365,"")</f>
        <v/>
      </c>
      <c r="L19" s="90" t="str">
        <f>IF(AND((Main!$D$10&gt;0),(I19&lt;&gt;"")),((Main!$D$10/Main!$B$11)*j_diff(Main!$D$11,C20)*Main!$B$7)/365,"")</f>
        <v/>
      </c>
      <c r="M19" s="90" t="str">
        <f>IF(AND((Main!$D$12&gt;0),(I19&lt;&gt;"")),((Main!$D$12/Main!$B$11)*j_diff(Main!$D$13,C20)*Main!$B$7)/365,"")</f>
        <v/>
      </c>
      <c r="N19" s="90" t="str">
        <f>IF(AND((Main!$D$14&gt;0),(I19&lt;&gt;"")),((Main!$D$14/Main!$B$11)*j_diff(Main!$D$15,C20)*Main!$B$7)/365,"")</f>
        <v/>
      </c>
    </row>
    <row r="20" spans="2:14" ht="21">
      <c r="B20" s="91" t="str">
        <f>IF(B19&lt;&gt;"",IF(Main!$B$11-B19&gt;=1,B19+1,""),"")</f>
        <v/>
      </c>
      <c r="C20" s="84" t="str">
        <f>IF(C19&lt;&gt;"",IF(B20&lt;&gt;"",AddMonth(C19,(Main!$B$12/Main!$B$11)),""),"")</f>
        <v/>
      </c>
      <c r="D20" s="94" t="b">
        <f>IF(B20&lt;&gt;"",(Main!$D$6/Main!$B$11)+IF(Main!$D$8&gt;0,(Main!$D$8/Main!$B$11)+IF(Main!$D$10&gt;0,(Main!$D$10/Main!$B$11)+IF(Main!$D$12&gt;0,(Main!$D$12/Main!$B$11)+IF(Main!$D$14&gt;0,(Main!$D$14/Main!$B$11))))))</f>
        <v>0</v>
      </c>
      <c r="E20" s="98" t="str">
        <f t="shared" si="0"/>
        <v/>
      </c>
      <c r="F20" s="96" t="str">
        <f t="shared" si="1"/>
        <v/>
      </c>
      <c r="H20" s="80"/>
      <c r="I20" s="91" t="str">
        <f>IF(I19&lt;&gt;"",IF(Main!$B$11-I19&gt;=1,I19+1,""),"")</f>
        <v/>
      </c>
      <c r="J20" s="90" t="str">
        <f>IF(AND((Main!$D$6&gt;0),(I20&lt;&gt;"")),((Main!$D$6/Main!$B$11)*j_diff(Main!$D$7,C21)*Main!$B$7)/365,"")</f>
        <v/>
      </c>
      <c r="K20" s="90" t="str">
        <f>IF(AND((Main!$D$8&gt;0),(I20&lt;&gt;"")),((Main!$D$8/Main!$B$11)*j_diff(Main!$D$9,C21)*Main!$B$7)/365,"")</f>
        <v/>
      </c>
      <c r="L20" s="90" t="str">
        <f>IF(AND((Main!$D$10&gt;0),(I20&lt;&gt;"")),((Main!$D$10/Main!$B$11)*j_diff(Main!$D$11,C21)*Main!$B$7)/365,"")</f>
        <v/>
      </c>
      <c r="M20" s="90" t="str">
        <f>IF(AND((Main!$D$12&gt;0),(I20&lt;&gt;"")),((Main!$D$12/Main!$B$11)*j_diff(Main!$D$13,C21)*Main!$B$7)/365,"")</f>
        <v/>
      </c>
      <c r="N20" s="90" t="str">
        <f>IF(AND((Main!$D$14&gt;0),(I20&lt;&gt;"")),((Main!$D$14/Main!$B$11)*j_diff(Main!$D$15,C21)*Main!$B$7)/365,"")</f>
        <v/>
      </c>
    </row>
    <row r="21" spans="2:14" ht="21">
      <c r="B21" s="91" t="str">
        <f>IF(B20&lt;&gt;"",IF(Main!$B$11-B20&gt;=1,B20+1,""),"")</f>
        <v/>
      </c>
      <c r="C21" s="84" t="str">
        <f>IF(C20&lt;&gt;"",IF(B21&lt;&gt;"",AddMonth(C20,(Main!$B$12/Main!$B$11)),""),"")</f>
        <v/>
      </c>
      <c r="D21" s="94" t="b">
        <f>IF(B21&lt;&gt;"",(Main!$D$6/Main!$B$11)+IF(Main!$D$8&gt;0,(Main!$D$8/Main!$B$11)+IF(Main!$D$10&gt;0,(Main!$D$10/Main!$B$11)+IF(Main!$D$12&gt;0,(Main!$D$12/Main!$B$11)+IF(Main!$D$14&gt;0,(Main!$D$14/Main!$B$11))))))</f>
        <v>0</v>
      </c>
      <c r="E21" s="98" t="str">
        <f t="shared" si="0"/>
        <v/>
      </c>
      <c r="F21" s="96" t="str">
        <f t="shared" si="1"/>
        <v/>
      </c>
      <c r="H21" s="80"/>
      <c r="I21" s="91" t="str">
        <f>IF(I20&lt;&gt;"",IF(Main!$B$11-I20&gt;=1,I20+1,""),"")</f>
        <v/>
      </c>
      <c r="J21" s="90" t="str">
        <f>IF(AND((Main!$D$6&gt;0),(I21&lt;&gt;"")),((Main!$D$6/Main!$B$11)*j_diff(Main!$D$7,C22)*Main!$B$7)/365,"")</f>
        <v/>
      </c>
      <c r="K21" s="90" t="str">
        <f>IF(AND((Main!$D$8&gt;0),(I21&lt;&gt;"")),((Main!$D$8/Main!$B$11)*j_diff(Main!$D$9,C22)*Main!$B$7)/365,"")</f>
        <v/>
      </c>
      <c r="L21" s="90" t="str">
        <f>IF(AND((Main!$D$10&gt;0),(I21&lt;&gt;"")),((Main!$D$10/Main!$B$11)*j_diff(Main!$D$11,C22)*Main!$B$7)/365,"")</f>
        <v/>
      </c>
      <c r="M21" s="90" t="str">
        <f>IF(AND((Main!$D$12&gt;0),(I21&lt;&gt;"")),((Main!$D$12/Main!$B$11)*j_diff(Main!$D$13,C22)*Main!$B$7)/365,"")</f>
        <v/>
      </c>
      <c r="N21" s="90" t="str">
        <f>IF(AND((Main!$D$14&gt;0),(I21&lt;&gt;"")),((Main!$D$14/Main!$B$11)*j_diff(Main!$D$15,C22)*Main!$B$7)/365,"")</f>
        <v/>
      </c>
    </row>
    <row r="22" spans="2:14" ht="21">
      <c r="B22" s="91" t="str">
        <f>IF(B21&lt;&gt;"",IF(Main!$B$11-B21&gt;=1,B21+1,""),"")</f>
        <v/>
      </c>
      <c r="C22" s="84" t="str">
        <f>IF(C21&lt;&gt;"",IF(B22&lt;&gt;"",AddMonth(C21,(Main!$B$12/Main!$B$11)),""),"")</f>
        <v/>
      </c>
      <c r="D22" s="94" t="b">
        <f>IF(B22&lt;&gt;"",(Main!$D$6/Main!$B$11)+IF(Main!$D$8&gt;0,(Main!$D$8/Main!$B$11)+IF(Main!$D$10&gt;0,(Main!$D$10/Main!$B$11)+IF(Main!$D$12&gt;0,(Main!$D$12/Main!$B$11)+IF(Main!$D$14&gt;0,(Main!$D$14/Main!$B$11))))))</f>
        <v>0</v>
      </c>
      <c r="E22" s="98" t="str">
        <f t="shared" si="0"/>
        <v/>
      </c>
      <c r="F22" s="96" t="str">
        <f t="shared" si="1"/>
        <v/>
      </c>
      <c r="H22" s="80"/>
      <c r="I22" s="91" t="str">
        <f>IF(I21&lt;&gt;"",IF(Main!$B$11-I21&gt;=1,I21+1,""),"")</f>
        <v/>
      </c>
      <c r="J22" s="90" t="str">
        <f>IF(AND((Main!$D$6&gt;0),(I22&lt;&gt;"")),((Main!$D$6/Main!$B$11)*j_diff(Main!$D$7,C23)*Main!$B$7)/365,"")</f>
        <v/>
      </c>
      <c r="K22" s="90" t="str">
        <f>IF(AND((Main!$D$8&gt;0),(I22&lt;&gt;"")),((Main!$D$8/Main!$B$11)*j_diff(Main!$D$9,C23)*Main!$B$7)/365,"")</f>
        <v/>
      </c>
      <c r="L22" s="90" t="str">
        <f>IF(AND((Main!$D$10&gt;0),(I22&lt;&gt;"")),((Main!$D$10/Main!$B$11)*j_diff(Main!$D$11,C23)*Main!$B$7)/365,"")</f>
        <v/>
      </c>
      <c r="M22" s="90" t="str">
        <f>IF(AND((Main!$D$12&gt;0),(I22&lt;&gt;"")),((Main!$D$12/Main!$B$11)*j_diff(Main!$D$13,C23)*Main!$B$7)/365,"")</f>
        <v/>
      </c>
      <c r="N22" s="90" t="str">
        <f>IF(AND((Main!$D$14&gt;0),(I22&lt;&gt;"")),((Main!$D$14/Main!$B$11)*j_diff(Main!$D$15,C23)*Main!$B$7)/365,"")</f>
        <v/>
      </c>
    </row>
    <row r="23" spans="2:14" ht="21">
      <c r="B23" s="91" t="str">
        <f>IF(B22&lt;&gt;"",IF(Main!$B$11-B22&gt;=1,B22+1,""),"")</f>
        <v/>
      </c>
      <c r="C23" s="84" t="str">
        <f>IF(C22&lt;&gt;"",IF(B23&lt;&gt;"",AddMonth(C22,(Main!$B$12/Main!$B$11)),""),"")</f>
        <v/>
      </c>
      <c r="D23" s="94" t="b">
        <f>IF(B23&lt;&gt;"",(Main!$D$6/Main!$B$11)+IF(Main!$D$8&gt;0,(Main!$D$8/Main!$B$11)+IF(Main!$D$10&gt;0,(Main!$D$10/Main!$B$11)+IF(Main!$D$12&gt;0,(Main!$D$12/Main!$B$11)+IF(Main!$D$14&gt;0,(Main!$D$14/Main!$B$11))))))</f>
        <v>0</v>
      </c>
      <c r="E23" s="98" t="str">
        <f t="shared" si="0"/>
        <v/>
      </c>
      <c r="F23" s="96" t="str">
        <f t="shared" si="1"/>
        <v/>
      </c>
      <c r="H23" s="80"/>
      <c r="I23" s="91" t="str">
        <f>IF(I22&lt;&gt;"",IF(Main!$B$11-I22&gt;=1,I22+1,""),"")</f>
        <v/>
      </c>
      <c r="J23" s="90" t="str">
        <f>IF(AND((Main!$D$6&gt;0),(I23&lt;&gt;"")),((Main!$D$6/Main!$B$11)*j_diff(Main!$D$7,C24)*Main!$B$7)/365,"")</f>
        <v/>
      </c>
      <c r="K23" s="90" t="str">
        <f>IF(AND((Main!$D$8&gt;0),(I23&lt;&gt;"")),((Main!$D$8/Main!$B$11)*j_diff(Main!$D$9,C24)*Main!$B$7)/365,"")</f>
        <v/>
      </c>
      <c r="L23" s="90" t="str">
        <f>IF(AND((Main!$D$10&gt;0),(I23&lt;&gt;"")),((Main!$D$10/Main!$B$11)*j_diff(Main!$D$11,C24)*Main!$B$7)/365,"")</f>
        <v/>
      </c>
      <c r="M23" s="90" t="str">
        <f>IF(AND((Main!$D$12&gt;0),(I23&lt;&gt;"")),((Main!$D$12/Main!$B$11)*j_diff(Main!$D$13,C24)*Main!$B$7)/365,"")</f>
        <v/>
      </c>
      <c r="N23" s="90" t="str">
        <f>IF(AND((Main!$D$14&gt;0),(I23&lt;&gt;"")),((Main!$D$14/Main!$B$11)*j_diff(Main!$D$15,C24)*Main!$B$7)/365,"")</f>
        <v/>
      </c>
    </row>
    <row r="24" spans="2:14" ht="21">
      <c r="B24" s="91" t="str">
        <f>IF(B23&lt;&gt;"",IF(Main!$B$11-B23&gt;=1,B23+1,""),"")</f>
        <v/>
      </c>
      <c r="C24" s="84" t="str">
        <f>IF(C23&lt;&gt;"",IF(B24&lt;&gt;"",AddMonth(C23,(Main!$B$12/Main!$B$11)),""),"")</f>
        <v/>
      </c>
      <c r="D24" s="94" t="b">
        <f>IF(B24&lt;&gt;"",(Main!$D$6/Main!$B$11)+IF(Main!$D$8&gt;0,(Main!$D$8/Main!$B$11)+IF(Main!$D$10&gt;0,(Main!$D$10/Main!$B$11)+IF(Main!$D$12&gt;0,(Main!$D$12/Main!$B$11)+IF(Main!$D$14&gt;0,(Main!$D$14/Main!$B$11))))))</f>
        <v>0</v>
      </c>
      <c r="E24" s="98" t="str">
        <f t="shared" si="0"/>
        <v/>
      </c>
      <c r="F24" s="96" t="str">
        <f t="shared" si="1"/>
        <v/>
      </c>
      <c r="H24" s="80"/>
      <c r="I24" s="91" t="str">
        <f>IF(I23&lt;&gt;"",IF(Main!$B$11-I23&gt;=1,I23+1,""),"")</f>
        <v/>
      </c>
      <c r="J24" s="90" t="str">
        <f>IF(AND((Main!$D$6&gt;0),(I24&lt;&gt;"")),((Main!$D$6/Main!$B$11)*j_diff(Main!$D$7,C25)*Main!$B$7)/365,"")</f>
        <v/>
      </c>
      <c r="K24" s="90" t="str">
        <f>IF(AND((Main!$D$8&gt;0),(I24&lt;&gt;"")),((Main!$D$8/Main!$B$11)*j_diff(Main!$D$9,C25)*Main!$B$7)/365,"")</f>
        <v/>
      </c>
      <c r="L24" s="90" t="str">
        <f>IF(AND((Main!$D$10&gt;0),(I24&lt;&gt;"")),((Main!$D$10/Main!$B$11)*j_diff(Main!$D$11,C25)*Main!$B$7)/365,"")</f>
        <v/>
      </c>
      <c r="M24" s="90" t="str">
        <f>IF(AND((Main!$D$12&gt;0),(I24&lt;&gt;"")),((Main!$D$12/Main!$B$11)*j_diff(Main!$D$13,C25)*Main!$B$7)/365,"")</f>
        <v/>
      </c>
      <c r="N24" s="90" t="str">
        <f>IF(AND((Main!$D$14&gt;0),(I24&lt;&gt;"")),((Main!$D$14/Main!$B$11)*j_diff(Main!$D$15,C25)*Main!$B$7)/365,"")</f>
        <v/>
      </c>
    </row>
    <row r="25" spans="2:14" ht="21">
      <c r="B25" s="91" t="str">
        <f>IF(B24&lt;&gt;"",IF(Main!$B$11-B24&gt;=1,B24+1,""),"")</f>
        <v/>
      </c>
      <c r="C25" s="84" t="str">
        <f>IF(C24&lt;&gt;"",IF(B25&lt;&gt;"",AddMonth(C24,(Main!$B$12/Main!$B$11)),""),"")</f>
        <v/>
      </c>
      <c r="D25" s="94" t="b">
        <f>IF(B25&lt;&gt;"",(Main!$D$6/Main!$B$11)+IF(Main!$D$8&gt;0,(Main!$D$8/Main!$B$11)+IF(Main!$D$10&gt;0,(Main!$D$10/Main!$B$11)+IF(Main!$D$12&gt;0,(Main!$D$12/Main!$B$11)+IF(Main!$D$14&gt;0,(Main!$D$14/Main!$B$11))))))</f>
        <v>0</v>
      </c>
      <c r="E25" s="98" t="str">
        <f t="shared" si="0"/>
        <v/>
      </c>
      <c r="F25" s="96" t="str">
        <f t="shared" si="1"/>
        <v/>
      </c>
      <c r="H25" s="80"/>
      <c r="I25" s="91" t="str">
        <f>IF(I24&lt;&gt;"",IF(Main!$B$11-I24&gt;=1,I24+1,""),"")</f>
        <v/>
      </c>
      <c r="J25" s="90" t="str">
        <f>IF(AND((Main!$D$6&gt;0),(I25&lt;&gt;"")),((Main!$D$6/Main!$B$11)*j_diff(Main!$D$7,C26)*Main!$B$7)/365,"")</f>
        <v/>
      </c>
      <c r="K25" s="90" t="str">
        <f>IF(AND((Main!$D$8&gt;0),(I25&lt;&gt;"")),((Main!$D$8/Main!$B$11)*j_diff(Main!$D$9,C26)*Main!$B$7)/365,"")</f>
        <v/>
      </c>
      <c r="L25" s="90" t="str">
        <f>IF(AND((Main!$D$10&gt;0),(I25&lt;&gt;"")),((Main!$D$10/Main!$B$11)*j_diff(Main!$D$11,C26)*Main!$B$7)/365,"")</f>
        <v/>
      </c>
      <c r="M25" s="90" t="str">
        <f>IF(AND((Main!$D$12&gt;0),(I25&lt;&gt;"")),((Main!$D$12/Main!$B$11)*j_diff(Main!$D$13,C26)*Main!$B$7)/365,"")</f>
        <v/>
      </c>
      <c r="N25" s="90" t="str">
        <f>IF(AND((Main!$D$14&gt;0),(I25&lt;&gt;"")),((Main!$D$14/Main!$B$11)*j_diff(Main!$D$15,C26)*Main!$B$7)/365,"")</f>
        <v/>
      </c>
    </row>
    <row r="26" spans="2:14" ht="21">
      <c r="B26" s="91" t="str">
        <f>IF(B25&lt;&gt;"",IF(Main!$B$11-B25&gt;=1,B25+1,""),"")</f>
        <v/>
      </c>
      <c r="C26" s="84" t="str">
        <f>IF(C25&lt;&gt;"",IF(B26&lt;&gt;"",AddMonth(C25,(Main!$B$12/Main!$B$11)),""),"")</f>
        <v/>
      </c>
      <c r="D26" s="94" t="b">
        <f>IF(B26&lt;&gt;"",(Main!$D$6/Main!$B$11)+IF(Main!$D$8&gt;0,(Main!$D$8/Main!$B$11)+IF(Main!$D$10&gt;0,(Main!$D$10/Main!$B$11)+IF(Main!$D$12&gt;0,(Main!$D$12/Main!$B$11)+IF(Main!$D$14&gt;0,(Main!$D$14/Main!$B$11))))))</f>
        <v>0</v>
      </c>
      <c r="E26" s="98" t="str">
        <f t="shared" si="0"/>
        <v/>
      </c>
      <c r="F26" s="96" t="str">
        <f t="shared" si="1"/>
        <v/>
      </c>
      <c r="H26" s="80"/>
      <c r="I26" s="91" t="str">
        <f>IF(I25&lt;&gt;"",IF(Main!$B$11-I25&gt;=1,I25+1,""),"")</f>
        <v/>
      </c>
      <c r="J26" s="100" t="str">
        <f>IF(AND((Main!$D$6&gt;0),(I26&lt;&gt;"")),((Main!$D$6/Main!$B$11)*j_diff(Main!$D$7,C27)*Main!$B$7)/365,"")</f>
        <v/>
      </c>
      <c r="K26" s="100" t="str">
        <f>IF(AND((Main!$D$8&gt;0),(I26&lt;&gt;"")),((Main!$D$8/Main!$B$11)*j_diff(Main!$D$9,C27)*Main!$B$7)/365,"")</f>
        <v/>
      </c>
      <c r="L26" s="100" t="str">
        <f>IF(AND((Main!$D$10&gt;0),(I26&lt;&gt;"")),((Main!$D$10/Main!$B$11)*j_diff(Main!$D$11,C27)*Main!$B$7)/365,"")</f>
        <v/>
      </c>
      <c r="M26" s="100" t="str">
        <f>IF(AND((Main!$D$12&gt;0),(I26&lt;&gt;"")),((Main!$D$12/Main!$B$11)*j_diff(Main!$D$13,C27)*Main!$B$7)/365,"")</f>
        <v/>
      </c>
      <c r="N26" s="100" t="str">
        <f>IF(AND((Main!$D$14&gt;0),(I26&lt;&gt;"")),((Main!$D$14/Main!$B$11)*j_diff(Main!$D$15,C27)*Main!$B$7)/365,"")</f>
        <v/>
      </c>
    </row>
    <row r="27" spans="2:14" ht="21.75" thickBot="1">
      <c r="B27" s="101" t="str">
        <f>IF(B26&lt;&gt;"",IF(Main!$B$11-B26&gt;=1,B26+1,""),"")</f>
        <v/>
      </c>
      <c r="C27" s="102" t="str">
        <f>IF(C26&lt;&gt;"",IF(B27&lt;&gt;"",AddMonth(C26,(Main!$B$12/Main!$B$11)),""),"")</f>
        <v/>
      </c>
      <c r="D27" s="103" t="b">
        <f>IF(B27&lt;&gt;"",(Main!$D$6/Main!$B$11)+IF(Main!$D$8&gt;0,(Main!$D$8/Main!$B$11)+IF(Main!$D$10&gt;0,(Main!$D$10/Main!$B$11)+IF(Main!$D$12&gt;0,(Main!$D$12/Main!$B$11)+IF(Main!$D$14&gt;0,(Main!$D$14/Main!$B$11))))))</f>
        <v>0</v>
      </c>
      <c r="E27" s="104" t="str">
        <f t="shared" si="0"/>
        <v/>
      </c>
      <c r="F27" s="105" t="str">
        <f t="shared" si="1"/>
        <v/>
      </c>
      <c r="H27" s="80"/>
      <c r="I27" s="80"/>
      <c r="J27" s="106">
        <f>SUM(J3:J26)</f>
        <v>372131506.84931505</v>
      </c>
      <c r="K27" s="106">
        <f>SUM(K3:K26)</f>
        <v>270991780.82191777</v>
      </c>
      <c r="L27" s="106">
        <f>SUM(L3:L26)</f>
        <v>60394520.547945201</v>
      </c>
      <c r="M27" s="106">
        <f>SUM(M3:M26)</f>
        <v>0</v>
      </c>
      <c r="N27" s="106">
        <f>SUM(N3:N26)</f>
        <v>0</v>
      </c>
    </row>
    <row r="28" spans="2:14" ht="21">
      <c r="B28" s="115" t="s">
        <v>17</v>
      </c>
      <c r="C28" s="116"/>
      <c r="D28" s="107">
        <f>SUM(D4:D27)</f>
        <v>3799999999.999999</v>
      </c>
      <c r="E28" s="108">
        <f>SUM(E4:E27)</f>
        <v>703517808.21917796</v>
      </c>
      <c r="F28" s="109">
        <f>SUM(F4:F27)</f>
        <v>4503517808.2191772</v>
      </c>
    </row>
    <row r="48" spans="2:2">
      <c r="B48" s="99"/>
    </row>
  </sheetData>
  <sheetProtection selectLockedCells="1"/>
  <mergeCells count="2">
    <mergeCell ref="B2:F2"/>
    <mergeCell ref="B28:C28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H37"/>
  <sheetViews>
    <sheetView rightToLeft="1" zoomScaleNormal="100" workbookViewId="0">
      <selection activeCell="B3" sqref="B3:F37"/>
    </sheetView>
  </sheetViews>
  <sheetFormatPr defaultColWidth="9.140625" defaultRowHeight="18"/>
  <cols>
    <col min="1" max="1" width="8.140625" style="21" customWidth="1"/>
    <col min="2" max="2" width="8.7109375" style="21" customWidth="1"/>
    <col min="3" max="3" width="12.7109375" style="21" customWidth="1"/>
    <col min="4" max="5" width="19.28515625" style="21" customWidth="1"/>
    <col min="6" max="6" width="20.7109375" style="21" customWidth="1"/>
    <col min="7" max="7" width="9" style="21" customWidth="1"/>
    <col min="8" max="8" width="9.140625" style="21"/>
    <col min="9" max="9" width="9.5703125" style="21" customWidth="1"/>
    <col min="10" max="16384" width="9.140625" style="21"/>
  </cols>
  <sheetData>
    <row r="3" spans="2:8" s="22" customFormat="1" ht="24.95" customHeight="1">
      <c r="B3" s="63"/>
      <c r="C3" s="64"/>
      <c r="D3" s="134" t="str">
        <f>Main!B5</f>
        <v>صندوق پژوهش و فناوری خراسان رضوی</v>
      </c>
      <c r="E3" s="134"/>
      <c r="F3" s="65"/>
      <c r="G3" s="24"/>
      <c r="H3" s="24"/>
    </row>
    <row r="4" spans="2:8" s="22" customFormat="1" ht="24.95" customHeight="1">
      <c r="B4" s="66"/>
      <c r="C4" s="53"/>
      <c r="D4" s="135" t="s">
        <v>14</v>
      </c>
      <c r="E4" s="135"/>
      <c r="F4" s="74" t="s">
        <v>47</v>
      </c>
      <c r="G4" s="24"/>
      <c r="H4" s="24"/>
    </row>
    <row r="5" spans="2:8" s="23" customFormat="1" ht="24.95" customHeight="1">
      <c r="B5" s="136" t="s">
        <v>15</v>
      </c>
      <c r="C5" s="137"/>
      <c r="D5" s="54" t="str">
        <f>Main!B3</f>
        <v>شرکت پرنیان ادمان آفرین</v>
      </c>
      <c r="E5" s="55"/>
      <c r="F5" s="75" t="str">
        <f ca="1">J_TODAY(1)</f>
        <v>1397/02/26</v>
      </c>
    </row>
    <row r="6" spans="2:8" s="23" customFormat="1" ht="24.95" customHeight="1">
      <c r="B6" s="138" t="s">
        <v>16</v>
      </c>
      <c r="C6" s="139"/>
      <c r="D6" s="56" t="str">
        <f>Main!B4</f>
        <v>تولید آلیاژ پلیمری مخصوص پوشش دهی و تکنولوژی صنعت کوتینگ</v>
      </c>
      <c r="E6" s="57"/>
      <c r="F6" s="67"/>
    </row>
    <row r="7" spans="2:8" s="23" customFormat="1" ht="24.95" customHeight="1">
      <c r="B7" s="138" t="s">
        <v>18</v>
      </c>
      <c r="C7" s="139"/>
      <c r="D7" s="58">
        <f>IF(Main!D16=Main!B6,Main!B6,Main!D17)</f>
        <v>3800000000</v>
      </c>
      <c r="E7" s="57"/>
      <c r="F7" s="67"/>
    </row>
    <row r="8" spans="2:8" s="23" customFormat="1" ht="24.95" customHeight="1">
      <c r="B8" s="68"/>
      <c r="C8" s="59" t="s">
        <v>38</v>
      </c>
      <c r="D8" s="60">
        <f>Main!B7</f>
        <v>0.11</v>
      </c>
      <c r="E8" s="59" t="s">
        <v>41</v>
      </c>
      <c r="F8" s="69">
        <f>Main!B10</f>
        <v>6</v>
      </c>
    </row>
    <row r="9" spans="2:8" s="23" customFormat="1" ht="24.95" customHeight="1">
      <c r="B9" s="68"/>
      <c r="C9" s="59" t="s">
        <v>39</v>
      </c>
      <c r="D9" s="61">
        <f>Main!B8</f>
        <v>3</v>
      </c>
      <c r="E9" s="59" t="s">
        <v>40</v>
      </c>
      <c r="F9" s="70">
        <f>Main!B9</f>
        <v>6</v>
      </c>
    </row>
    <row r="10" spans="2:8" s="23" customFormat="1" ht="24.95" customHeight="1">
      <c r="B10" s="68"/>
      <c r="C10" s="62" t="s">
        <v>42</v>
      </c>
      <c r="D10" s="44">
        <f>Main!B11</f>
        <v>6</v>
      </c>
      <c r="E10" s="62" t="s">
        <v>43</v>
      </c>
      <c r="F10" s="70">
        <f>Main!B12</f>
        <v>18</v>
      </c>
      <c r="G10" s="26"/>
      <c r="H10" s="6"/>
    </row>
    <row r="11" spans="2:8" s="25" customFormat="1" ht="21.75" thickBot="1">
      <c r="B11" s="76" t="s">
        <v>48</v>
      </c>
      <c r="C11" s="77" t="str">
        <f>Mohasebat!C3</f>
        <v>تاريخ سررسيد</v>
      </c>
      <c r="D11" s="76" t="str">
        <f>Mohasebat!D3</f>
        <v xml:space="preserve"> اصل قسط</v>
      </c>
      <c r="E11" s="110" t="str">
        <f>Mohasebat!E3</f>
        <v>سود قسط</v>
      </c>
      <c r="F11" s="52" t="str">
        <f>Mohasebat!F3</f>
        <v>مبلغ کل قسط (ریال)</v>
      </c>
      <c r="H11" s="27"/>
    </row>
    <row r="12" spans="2:8" ht="21">
      <c r="B12" s="4">
        <f>Mohasebat!B4</f>
        <v>1</v>
      </c>
      <c r="C12" s="45" t="str">
        <f>Mohasebat!C4</f>
        <v>1398/05/10</v>
      </c>
      <c r="D12" s="5">
        <f>Mohasebat!D4</f>
        <v>633333333.33333325</v>
      </c>
      <c r="E12" s="32">
        <f>Mohasebat!E4</f>
        <v>117252968.03652966</v>
      </c>
      <c r="F12" s="38">
        <f>Mohasebat!F4</f>
        <v>750586301.36986291</v>
      </c>
      <c r="H12" s="28"/>
    </row>
    <row r="13" spans="2:8" ht="21">
      <c r="B13" s="3">
        <f>Mohasebat!B5</f>
        <v>2</v>
      </c>
      <c r="C13" s="31" t="str">
        <f>Mohasebat!C5</f>
        <v>1398/08/10</v>
      </c>
      <c r="D13" s="8">
        <f>Mohasebat!D5</f>
        <v>633333333.33333325</v>
      </c>
      <c r="E13" s="40">
        <f>Mohasebat!E5</f>
        <v>117252968.03652966</v>
      </c>
      <c r="F13" s="39">
        <f>Mohasebat!F5</f>
        <v>750586301.36986291</v>
      </c>
    </row>
    <row r="14" spans="2:8" ht="21">
      <c r="B14" s="3">
        <f>Mohasebat!B6</f>
        <v>3</v>
      </c>
      <c r="C14" s="31" t="str">
        <f>Mohasebat!C6</f>
        <v>1398/11/10</v>
      </c>
      <c r="D14" s="8">
        <f>Mohasebat!D6</f>
        <v>633333333.33333325</v>
      </c>
      <c r="E14" s="40">
        <f>Mohasebat!E6</f>
        <v>117252968.03652966</v>
      </c>
      <c r="F14" s="39">
        <f>Mohasebat!F6</f>
        <v>750586301.36986291</v>
      </c>
    </row>
    <row r="15" spans="2:8" ht="21">
      <c r="B15" s="3">
        <f>Mohasebat!B7</f>
        <v>4</v>
      </c>
      <c r="C15" s="31" t="str">
        <f>Mohasebat!C7</f>
        <v>1399/02/10</v>
      </c>
      <c r="D15" s="8">
        <f>Mohasebat!D7</f>
        <v>633333333.33333325</v>
      </c>
      <c r="E15" s="40">
        <f>Mohasebat!E7</f>
        <v>117252968.03652966</v>
      </c>
      <c r="F15" s="39">
        <f>Mohasebat!F7</f>
        <v>750586301.36986291</v>
      </c>
    </row>
    <row r="16" spans="2:8" ht="21">
      <c r="B16" s="3">
        <f>Mohasebat!B8</f>
        <v>5</v>
      </c>
      <c r="C16" s="31" t="str">
        <f>Mohasebat!C8</f>
        <v>1399/05/10</v>
      </c>
      <c r="D16" s="8">
        <f>Mohasebat!D8</f>
        <v>633333333.33333325</v>
      </c>
      <c r="E16" s="40">
        <f>Mohasebat!E8</f>
        <v>117252968.03652966</v>
      </c>
      <c r="F16" s="39">
        <f>Mohasebat!F8</f>
        <v>750586301.36986291</v>
      </c>
    </row>
    <row r="17" spans="2:6" ht="21">
      <c r="B17" s="3">
        <f>Mohasebat!B9</f>
        <v>6</v>
      </c>
      <c r="C17" s="31" t="str">
        <f>Mohasebat!C9</f>
        <v>1399/08/10</v>
      </c>
      <c r="D17" s="8">
        <f>Mohasebat!D9</f>
        <v>633333333.33333325</v>
      </c>
      <c r="E17" s="40">
        <f>Mohasebat!E9</f>
        <v>117252968.03652966</v>
      </c>
      <c r="F17" s="39">
        <f>Mohasebat!F9</f>
        <v>750586301.36986291</v>
      </c>
    </row>
    <row r="18" spans="2:6" ht="21">
      <c r="B18" s="3" t="str">
        <f>Mohasebat!B10</f>
        <v/>
      </c>
      <c r="C18" s="31" t="str">
        <f>Mohasebat!C10</f>
        <v/>
      </c>
      <c r="D18" s="8" t="b">
        <f>Mohasebat!D10</f>
        <v>0</v>
      </c>
      <c r="E18" s="40" t="str">
        <f>Mohasebat!E10</f>
        <v/>
      </c>
      <c r="F18" s="39" t="str">
        <f>Mohasebat!F10</f>
        <v/>
      </c>
    </row>
    <row r="19" spans="2:6" ht="21">
      <c r="B19" s="3" t="str">
        <f>Mohasebat!B11</f>
        <v/>
      </c>
      <c r="C19" s="31" t="str">
        <f>Mohasebat!C11</f>
        <v/>
      </c>
      <c r="D19" s="8" t="b">
        <f>Mohasebat!D11</f>
        <v>0</v>
      </c>
      <c r="E19" s="40" t="str">
        <f>Mohasebat!E11</f>
        <v/>
      </c>
      <c r="F19" s="39" t="str">
        <f>Mohasebat!F11</f>
        <v/>
      </c>
    </row>
    <row r="20" spans="2:6" ht="21">
      <c r="B20" s="3" t="str">
        <f>Mohasebat!B12</f>
        <v/>
      </c>
      <c r="C20" s="31" t="str">
        <f>Mohasebat!C12</f>
        <v/>
      </c>
      <c r="D20" s="8" t="str">
        <f>Mohasebat!D12</f>
        <v/>
      </c>
      <c r="E20" s="40" t="str">
        <f>Mohasebat!E12</f>
        <v/>
      </c>
      <c r="F20" s="39" t="str">
        <f>Mohasebat!F12</f>
        <v/>
      </c>
    </row>
    <row r="21" spans="2:6" ht="21">
      <c r="B21" s="3" t="str">
        <f>Mohasebat!B13</f>
        <v/>
      </c>
      <c r="C21" s="31" t="str">
        <f>Mohasebat!C13</f>
        <v/>
      </c>
      <c r="D21" s="8" t="b">
        <f>Mohasebat!D13</f>
        <v>0</v>
      </c>
      <c r="E21" s="40" t="str">
        <f>Mohasebat!E13</f>
        <v/>
      </c>
      <c r="F21" s="39" t="str">
        <f>Mohasebat!F13</f>
        <v/>
      </c>
    </row>
    <row r="22" spans="2:6" ht="21">
      <c r="B22" s="3" t="str">
        <f>Mohasebat!B14</f>
        <v/>
      </c>
      <c r="C22" s="31" t="str">
        <f>Mohasebat!C14</f>
        <v/>
      </c>
      <c r="D22" s="8" t="b">
        <f>Mohasebat!D14</f>
        <v>0</v>
      </c>
      <c r="E22" s="40" t="str">
        <f>Mohasebat!E14</f>
        <v/>
      </c>
      <c r="F22" s="39" t="str">
        <f>Mohasebat!F14</f>
        <v/>
      </c>
    </row>
    <row r="23" spans="2:6" ht="21">
      <c r="B23" s="3" t="str">
        <f>Mohasebat!B15</f>
        <v/>
      </c>
      <c r="C23" s="31" t="str">
        <f>Mohasebat!C15</f>
        <v/>
      </c>
      <c r="D23" s="8">
        <f>Mohasebat!D15</f>
        <v>0</v>
      </c>
      <c r="E23" s="40" t="str">
        <f>Mohasebat!E15</f>
        <v/>
      </c>
      <c r="F23" s="39" t="str">
        <f>Mohasebat!F15</f>
        <v/>
      </c>
    </row>
    <row r="24" spans="2:6" ht="21">
      <c r="B24" s="3" t="str">
        <f>Mohasebat!B16</f>
        <v/>
      </c>
      <c r="C24" s="31" t="str">
        <f>Mohasebat!C16</f>
        <v/>
      </c>
      <c r="D24" s="8" t="str">
        <f>Mohasebat!D16</f>
        <v/>
      </c>
      <c r="E24" s="40" t="str">
        <f>Mohasebat!E16</f>
        <v/>
      </c>
      <c r="F24" s="39" t="str">
        <f>Mohasebat!F16</f>
        <v/>
      </c>
    </row>
    <row r="25" spans="2:6" ht="21">
      <c r="B25" s="3" t="str">
        <f>Mohasebat!B17</f>
        <v/>
      </c>
      <c r="C25" s="31" t="str">
        <f>Mohasebat!C17</f>
        <v/>
      </c>
      <c r="D25" s="8" t="b">
        <f>Mohasebat!D17</f>
        <v>0</v>
      </c>
      <c r="E25" s="40" t="str">
        <f>Mohasebat!E17</f>
        <v/>
      </c>
      <c r="F25" s="39" t="str">
        <f>Mohasebat!F17</f>
        <v/>
      </c>
    </row>
    <row r="26" spans="2:6" ht="21">
      <c r="B26" s="3" t="str">
        <f>Mohasebat!B18</f>
        <v/>
      </c>
      <c r="C26" s="31" t="str">
        <f>Mohasebat!C18</f>
        <v/>
      </c>
      <c r="D26" s="8" t="b">
        <f>Mohasebat!D18</f>
        <v>0</v>
      </c>
      <c r="E26" s="40" t="str">
        <f>Mohasebat!E18</f>
        <v/>
      </c>
      <c r="F26" s="39" t="str">
        <f>Mohasebat!F18</f>
        <v/>
      </c>
    </row>
    <row r="27" spans="2:6" ht="21">
      <c r="B27" s="3" t="str">
        <f>Mohasebat!B19</f>
        <v/>
      </c>
      <c r="C27" s="31" t="str">
        <f>Mohasebat!C19</f>
        <v/>
      </c>
      <c r="D27" s="8" t="b">
        <f>Mohasebat!D19</f>
        <v>0</v>
      </c>
      <c r="E27" s="40" t="str">
        <f>Mohasebat!E19</f>
        <v/>
      </c>
      <c r="F27" s="39" t="str">
        <f>Mohasebat!F19</f>
        <v/>
      </c>
    </row>
    <row r="28" spans="2:6" ht="21">
      <c r="B28" s="3" t="str">
        <f>Mohasebat!B20</f>
        <v/>
      </c>
      <c r="C28" s="31" t="str">
        <f>Mohasebat!C20</f>
        <v/>
      </c>
      <c r="D28" s="8" t="b">
        <f>Mohasebat!D20</f>
        <v>0</v>
      </c>
      <c r="E28" s="40" t="str">
        <f>Mohasebat!E20</f>
        <v/>
      </c>
      <c r="F28" s="39" t="str">
        <f>Mohasebat!F20</f>
        <v/>
      </c>
    </row>
    <row r="29" spans="2:6" ht="21">
      <c r="B29" s="3" t="str">
        <f>Mohasebat!B21</f>
        <v/>
      </c>
      <c r="C29" s="31" t="str">
        <f>Mohasebat!C21</f>
        <v/>
      </c>
      <c r="D29" s="8" t="b">
        <f>Mohasebat!D21</f>
        <v>0</v>
      </c>
      <c r="E29" s="40" t="str">
        <f>Mohasebat!E21</f>
        <v/>
      </c>
      <c r="F29" s="39" t="str">
        <f>Mohasebat!F21</f>
        <v/>
      </c>
    </row>
    <row r="30" spans="2:6" ht="21">
      <c r="B30" s="3" t="str">
        <f>Mohasebat!B22</f>
        <v/>
      </c>
      <c r="C30" s="31" t="str">
        <f>Mohasebat!C22</f>
        <v/>
      </c>
      <c r="D30" s="8" t="b">
        <f>Mohasebat!D22</f>
        <v>0</v>
      </c>
      <c r="E30" s="40" t="str">
        <f>Mohasebat!E22</f>
        <v/>
      </c>
      <c r="F30" s="39" t="str">
        <f>Mohasebat!F22</f>
        <v/>
      </c>
    </row>
    <row r="31" spans="2:6" ht="21">
      <c r="B31" s="3" t="str">
        <f>Mohasebat!B23</f>
        <v/>
      </c>
      <c r="C31" s="31" t="str">
        <f>Mohasebat!C23</f>
        <v/>
      </c>
      <c r="D31" s="8" t="b">
        <f>Mohasebat!D23</f>
        <v>0</v>
      </c>
      <c r="E31" s="40" t="str">
        <f>Mohasebat!E23</f>
        <v/>
      </c>
      <c r="F31" s="39" t="str">
        <f>Mohasebat!F23</f>
        <v/>
      </c>
    </row>
    <row r="32" spans="2:6" ht="21">
      <c r="B32" s="3" t="str">
        <f>Mohasebat!B24</f>
        <v/>
      </c>
      <c r="C32" s="31" t="str">
        <f>Mohasebat!C24</f>
        <v/>
      </c>
      <c r="D32" s="8" t="b">
        <f>Mohasebat!D24</f>
        <v>0</v>
      </c>
      <c r="E32" s="40" t="str">
        <f>Mohasebat!E24</f>
        <v/>
      </c>
      <c r="F32" s="39" t="str">
        <f>Mohasebat!F24</f>
        <v/>
      </c>
    </row>
    <row r="33" spans="2:6" ht="21">
      <c r="B33" s="3" t="str">
        <f>Mohasebat!B25</f>
        <v/>
      </c>
      <c r="C33" s="31" t="str">
        <f>Mohasebat!C25</f>
        <v/>
      </c>
      <c r="D33" s="8" t="b">
        <f>Mohasebat!D25</f>
        <v>0</v>
      </c>
      <c r="E33" s="40" t="str">
        <f>Mohasebat!E25</f>
        <v/>
      </c>
      <c r="F33" s="39" t="str">
        <f>Mohasebat!F25</f>
        <v/>
      </c>
    </row>
    <row r="34" spans="2:6" ht="21">
      <c r="B34" s="3" t="str">
        <f>Mohasebat!B26</f>
        <v/>
      </c>
      <c r="C34" s="31" t="str">
        <f>Mohasebat!C26</f>
        <v/>
      </c>
      <c r="D34" s="8" t="b">
        <f>Mohasebat!D26</f>
        <v>0</v>
      </c>
      <c r="E34" s="40" t="str">
        <f>Mohasebat!E26</f>
        <v/>
      </c>
      <c r="F34" s="39" t="str">
        <f>Mohasebat!F26</f>
        <v/>
      </c>
    </row>
    <row r="35" spans="2:6" ht="21.75" thickBot="1">
      <c r="B35" s="34" t="str">
        <f>Mohasebat!B27</f>
        <v/>
      </c>
      <c r="C35" s="35" t="str">
        <f>Mohasebat!C27</f>
        <v/>
      </c>
      <c r="D35" s="36" t="b">
        <f>Mohasebat!D27</f>
        <v>0</v>
      </c>
      <c r="E35" s="37" t="str">
        <f>Mohasebat!E27</f>
        <v/>
      </c>
      <c r="F35" s="43" t="str">
        <f>Mohasebat!F27</f>
        <v/>
      </c>
    </row>
    <row r="36" spans="2:6" ht="21">
      <c r="B36" s="132" t="str">
        <f>Mohasebat!B28</f>
        <v>جمــــــع (ریال)</v>
      </c>
      <c r="C36" s="133"/>
      <c r="D36" s="33">
        <f>Mohasebat!D28</f>
        <v>3799999999.999999</v>
      </c>
      <c r="E36" s="41">
        <f>Mohasebat!E28</f>
        <v>703517808.21917796</v>
      </c>
      <c r="F36" s="42">
        <f>Mohasebat!F28</f>
        <v>4503517808.2191772</v>
      </c>
    </row>
    <row r="37" spans="2:6">
      <c r="B37" s="71" t="s">
        <v>44</v>
      </c>
      <c r="C37" s="72"/>
      <c r="D37" s="72"/>
      <c r="E37" s="72"/>
      <c r="F37" s="73"/>
    </row>
  </sheetData>
  <sheetProtection selectLockedCells="1"/>
  <mergeCells count="6">
    <mergeCell ref="B36:C36"/>
    <mergeCell ref="D3:E3"/>
    <mergeCell ref="D4:E4"/>
    <mergeCell ref="B5:C5"/>
    <mergeCell ref="B6:C6"/>
    <mergeCell ref="B7:C7"/>
  </mergeCells>
  <printOptions horizontalCentered="1"/>
  <pageMargins left="0.7" right="0.7" top="0.75" bottom="0.75" header="0.3" footer="0.3"/>
  <pageSetup paperSize="9" scale="98" orientation="portrait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Mohasebat</vt:lpstr>
      <vt:lpstr>Print</vt:lpstr>
    </vt:vector>
  </TitlesOfParts>
  <Company>MEM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Others</dc:creator>
  <cp:lastModifiedBy>shabi</cp:lastModifiedBy>
  <cp:lastPrinted>2016-04-20T09:13:53Z</cp:lastPrinted>
  <dcterms:created xsi:type="dcterms:W3CDTF">2010-11-11T04:11:08Z</dcterms:created>
  <dcterms:modified xsi:type="dcterms:W3CDTF">2018-05-16T04:44:58Z</dcterms:modified>
</cp:coreProperties>
</file>